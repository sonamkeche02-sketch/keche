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ml.chartshapes+xml"/>
  <Override PartName="/xl/pivotTables/pivotTable7.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7.xml" ContentType="application/vnd.openxmlformats-officedocument.drawingml.chart+xml"/>
  <Override PartName="/xl/tables/table2.xml" ContentType="application/vnd.openxmlformats-officedocument.spreadsheetml.table+xml"/>
  <Override PartName="/xl/drawings/drawing9.xml" ContentType="application/vnd.openxmlformats-officedocument.drawing+xml"/>
  <Override PartName="/xl/slicers/slicer7.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Shree\Downloads\"/>
    </mc:Choice>
  </mc:AlternateContent>
  <xr:revisionPtr revIDLastSave="0" documentId="13_ncr:1_{6E33A333-5D06-4266-82F3-82E973796048}" xr6:coauthVersionLast="47" xr6:coauthVersionMax="47" xr10:uidLastSave="{00000000-0000-0000-0000-000000000000}"/>
  <bookViews>
    <workbookView xWindow="-120" yWindow="-120" windowWidth="29040" windowHeight="15840" firstSheet="4" activeTab="9" xr2:uid="{00000000-000D-0000-FFFF-FFFF00000000}"/>
  </bookViews>
  <sheets>
    <sheet name="Sheet1" sheetId="2" r:id="rId1"/>
    <sheet name="Sheet2" sheetId="3" r:id="rId2"/>
    <sheet name="Sheet3" sheetId="4" r:id="rId3"/>
    <sheet name="Sheet4" sheetId="5" r:id="rId4"/>
    <sheet name="Sheet5" sheetId="6" r:id="rId5"/>
    <sheet name="Sheet8" sheetId="9" r:id="rId6"/>
    <sheet name="Sheet7" sheetId="8" r:id="rId7"/>
    <sheet name="Sheet9" sheetId="10" r:id="rId8"/>
    <sheet name="Restaurant Sales" sheetId="1" r:id="rId9"/>
    <sheet name="Dashboard" sheetId="7" r:id="rId10"/>
  </sheets>
  <definedNames>
    <definedName name="_xlnm._FilterDatabase" localSheetId="8" hidden="1">'Restaurant Sales'!$A$1:$L$1001</definedName>
    <definedName name="mydata">Table1[[#All],[Order Date]:[Rating type]]</definedName>
    <definedName name="Slicer_Category1">#N/A</definedName>
    <definedName name="Slicer_month1">#N/A</definedName>
    <definedName name="Slicer_Order_Type">#N/A</definedName>
    <definedName name="Slicer_Restaurant_Location1">#N/A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9" i="1" l="1"/>
  <c r="Q19" i="1"/>
  <c r="P19" i="1"/>
  <c r="S9" i="1" a="1"/>
  <c r="S9" i="1" s="1"/>
  <c r="S3" i="1" l="1" a="1"/>
  <c r="S3" i="1" s="1"/>
  <c r="S4" i="1" a="1"/>
  <c r="S4" i="1" s="1"/>
  <c r="S5" i="1" a="1"/>
  <c r="S5" i="1" s="1"/>
  <c r="S2" i="1" a="1"/>
  <c r="S2" i="1" s="1"/>
  <c r="P9" i="1"/>
  <c r="P10" i="1"/>
  <c r="P11" i="1"/>
  <c r="P12" i="1"/>
  <c r="P8" i="1"/>
  <c r="P5" i="1"/>
  <c r="P6" i="1"/>
  <c r="P7" i="1"/>
  <c r="P2" i="1"/>
  <c r="C3" i="1"/>
  <c r="D3" i="1"/>
  <c r="M3" i="1"/>
  <c r="C4" i="1"/>
  <c r="D4" i="1"/>
  <c r="M4" i="1"/>
  <c r="C5" i="1"/>
  <c r="D5" i="1"/>
  <c r="M5" i="1"/>
  <c r="C6" i="1"/>
  <c r="D6" i="1"/>
  <c r="M6" i="1"/>
  <c r="C7" i="1"/>
  <c r="D7" i="1"/>
  <c r="M7" i="1"/>
  <c r="C8" i="1"/>
  <c r="D8" i="1"/>
  <c r="M8" i="1"/>
  <c r="C9" i="1"/>
  <c r="D9" i="1"/>
  <c r="M9" i="1"/>
  <c r="C10" i="1"/>
  <c r="D10" i="1"/>
  <c r="M10" i="1"/>
  <c r="C11" i="1"/>
  <c r="D11" i="1"/>
  <c r="M11" i="1"/>
  <c r="C12" i="1"/>
  <c r="D12" i="1"/>
  <c r="M12" i="1"/>
  <c r="C13" i="1"/>
  <c r="D13" i="1"/>
  <c r="M13" i="1"/>
  <c r="C14" i="1"/>
  <c r="D14" i="1"/>
  <c r="M14" i="1"/>
  <c r="C15" i="1"/>
  <c r="D15" i="1"/>
  <c r="M15" i="1"/>
  <c r="C16" i="1"/>
  <c r="D16" i="1"/>
  <c r="M16" i="1"/>
  <c r="C17" i="1"/>
  <c r="D17" i="1"/>
  <c r="M17" i="1"/>
  <c r="C18" i="1"/>
  <c r="D18" i="1"/>
  <c r="M18" i="1"/>
  <c r="C19" i="1"/>
  <c r="D19" i="1"/>
  <c r="M19" i="1"/>
  <c r="C20" i="1"/>
  <c r="D20" i="1"/>
  <c r="M20" i="1"/>
  <c r="C21" i="1"/>
  <c r="D21" i="1"/>
  <c r="M21" i="1"/>
  <c r="C22" i="1"/>
  <c r="D22" i="1"/>
  <c r="M22" i="1"/>
  <c r="C23" i="1"/>
  <c r="D23" i="1"/>
  <c r="M23" i="1"/>
  <c r="C24" i="1"/>
  <c r="D24" i="1"/>
  <c r="M24" i="1"/>
  <c r="C25" i="1"/>
  <c r="D25" i="1"/>
  <c r="M25" i="1"/>
  <c r="C26" i="1"/>
  <c r="D26" i="1"/>
  <c r="M26" i="1"/>
  <c r="C27" i="1"/>
  <c r="D27" i="1"/>
  <c r="M27" i="1"/>
  <c r="C28" i="1"/>
  <c r="D28" i="1"/>
  <c r="M28" i="1"/>
  <c r="C29" i="1"/>
  <c r="D29" i="1"/>
  <c r="M29" i="1"/>
  <c r="C30" i="1"/>
  <c r="D30" i="1"/>
  <c r="M30" i="1"/>
  <c r="C31" i="1"/>
  <c r="D31" i="1"/>
  <c r="M31" i="1"/>
  <c r="C32" i="1"/>
  <c r="D32" i="1"/>
  <c r="M32" i="1"/>
  <c r="C33" i="1"/>
  <c r="D33" i="1"/>
  <c r="M33" i="1"/>
  <c r="C34" i="1"/>
  <c r="D34" i="1"/>
  <c r="M34" i="1"/>
  <c r="C35" i="1"/>
  <c r="D35" i="1"/>
  <c r="M35" i="1"/>
  <c r="C36" i="1"/>
  <c r="D36" i="1"/>
  <c r="M36" i="1"/>
  <c r="C37" i="1"/>
  <c r="D37" i="1"/>
  <c r="M37" i="1"/>
  <c r="C38" i="1"/>
  <c r="D38" i="1"/>
  <c r="M38" i="1"/>
  <c r="C39" i="1"/>
  <c r="D39" i="1"/>
  <c r="M39" i="1"/>
  <c r="C40" i="1"/>
  <c r="D40" i="1"/>
  <c r="M40" i="1"/>
  <c r="C41" i="1"/>
  <c r="D41" i="1"/>
  <c r="M41" i="1"/>
  <c r="C42" i="1"/>
  <c r="D42" i="1"/>
  <c r="M42" i="1"/>
  <c r="C43" i="1"/>
  <c r="D43" i="1"/>
  <c r="M43" i="1"/>
  <c r="C44" i="1"/>
  <c r="D44" i="1"/>
  <c r="M44" i="1"/>
  <c r="C45" i="1"/>
  <c r="D45" i="1"/>
  <c r="M45" i="1"/>
  <c r="C46" i="1"/>
  <c r="D46" i="1"/>
  <c r="M46" i="1"/>
  <c r="C47" i="1"/>
  <c r="D47" i="1"/>
  <c r="M47" i="1"/>
  <c r="C48" i="1"/>
  <c r="D48" i="1"/>
  <c r="M48" i="1"/>
  <c r="C49" i="1"/>
  <c r="D49" i="1"/>
  <c r="M49" i="1"/>
  <c r="C50" i="1"/>
  <c r="D50" i="1"/>
  <c r="M50" i="1"/>
  <c r="C51" i="1"/>
  <c r="D51" i="1"/>
  <c r="M51" i="1"/>
  <c r="C52" i="1"/>
  <c r="D52" i="1"/>
  <c r="M52" i="1"/>
  <c r="C53" i="1"/>
  <c r="D53" i="1"/>
  <c r="M53" i="1"/>
  <c r="C54" i="1"/>
  <c r="D54" i="1"/>
  <c r="M54" i="1"/>
  <c r="C55" i="1"/>
  <c r="D55" i="1"/>
  <c r="M55" i="1"/>
  <c r="C56" i="1"/>
  <c r="D56" i="1"/>
  <c r="M56" i="1"/>
  <c r="C57" i="1"/>
  <c r="D57" i="1"/>
  <c r="M57" i="1"/>
  <c r="C58" i="1"/>
  <c r="D58" i="1"/>
  <c r="M58" i="1"/>
  <c r="C59" i="1"/>
  <c r="D59" i="1"/>
  <c r="M59" i="1"/>
  <c r="C60" i="1"/>
  <c r="D60" i="1"/>
  <c r="M60" i="1"/>
  <c r="C61" i="1"/>
  <c r="D61" i="1"/>
  <c r="M61" i="1"/>
  <c r="C62" i="1"/>
  <c r="D62" i="1"/>
  <c r="M62" i="1"/>
  <c r="C63" i="1"/>
  <c r="D63" i="1"/>
  <c r="M63" i="1"/>
  <c r="C64" i="1"/>
  <c r="D64" i="1"/>
  <c r="M64" i="1"/>
  <c r="C65" i="1"/>
  <c r="D65" i="1"/>
  <c r="M65" i="1"/>
  <c r="C66" i="1"/>
  <c r="D66" i="1"/>
  <c r="M66" i="1"/>
  <c r="C67" i="1"/>
  <c r="D67" i="1"/>
  <c r="M67" i="1"/>
  <c r="C68" i="1"/>
  <c r="D68" i="1"/>
  <c r="M68" i="1"/>
  <c r="C69" i="1"/>
  <c r="D69" i="1"/>
  <c r="M69" i="1"/>
  <c r="C70" i="1"/>
  <c r="D70" i="1"/>
  <c r="M70" i="1"/>
  <c r="C71" i="1"/>
  <c r="D71" i="1"/>
  <c r="M71" i="1"/>
  <c r="C72" i="1"/>
  <c r="D72" i="1"/>
  <c r="M72" i="1"/>
  <c r="C73" i="1"/>
  <c r="D73" i="1"/>
  <c r="M73" i="1"/>
  <c r="C74" i="1"/>
  <c r="D74" i="1"/>
  <c r="M74" i="1"/>
  <c r="C75" i="1"/>
  <c r="D75" i="1"/>
  <c r="M75" i="1"/>
  <c r="C76" i="1"/>
  <c r="D76" i="1"/>
  <c r="M76" i="1"/>
  <c r="C77" i="1"/>
  <c r="D77" i="1"/>
  <c r="M77" i="1"/>
  <c r="C78" i="1"/>
  <c r="D78" i="1"/>
  <c r="M78" i="1"/>
  <c r="C79" i="1"/>
  <c r="D79" i="1"/>
  <c r="M79" i="1"/>
  <c r="C80" i="1"/>
  <c r="D80" i="1"/>
  <c r="M80" i="1"/>
  <c r="C81" i="1"/>
  <c r="D81" i="1"/>
  <c r="M81" i="1"/>
  <c r="C82" i="1"/>
  <c r="D82" i="1"/>
  <c r="M82" i="1"/>
  <c r="C83" i="1"/>
  <c r="D83" i="1"/>
  <c r="M83" i="1"/>
  <c r="C84" i="1"/>
  <c r="D84" i="1"/>
  <c r="M84" i="1"/>
  <c r="C85" i="1"/>
  <c r="D85" i="1"/>
  <c r="M85" i="1"/>
  <c r="C86" i="1"/>
  <c r="D86" i="1"/>
  <c r="M86" i="1"/>
  <c r="C87" i="1"/>
  <c r="D87" i="1"/>
  <c r="M87" i="1"/>
  <c r="C88" i="1"/>
  <c r="D88" i="1"/>
  <c r="M88" i="1"/>
  <c r="C89" i="1"/>
  <c r="D89" i="1"/>
  <c r="M89" i="1"/>
  <c r="C90" i="1"/>
  <c r="D90" i="1"/>
  <c r="M90" i="1"/>
  <c r="C91" i="1"/>
  <c r="D91" i="1"/>
  <c r="M91" i="1"/>
  <c r="C92" i="1"/>
  <c r="D92" i="1"/>
  <c r="M92" i="1"/>
  <c r="C93" i="1"/>
  <c r="D93" i="1"/>
  <c r="M93" i="1"/>
  <c r="C94" i="1"/>
  <c r="D94" i="1"/>
  <c r="M94" i="1"/>
  <c r="C95" i="1"/>
  <c r="D95" i="1"/>
  <c r="M95" i="1"/>
  <c r="C96" i="1"/>
  <c r="D96" i="1"/>
  <c r="M96" i="1"/>
  <c r="C97" i="1"/>
  <c r="D97" i="1"/>
  <c r="M97" i="1"/>
  <c r="C98" i="1"/>
  <c r="D98" i="1"/>
  <c r="M98" i="1"/>
  <c r="C99" i="1"/>
  <c r="D99" i="1"/>
  <c r="M99" i="1"/>
  <c r="C100" i="1"/>
  <c r="D100" i="1"/>
  <c r="M100" i="1"/>
  <c r="C101" i="1"/>
  <c r="D101" i="1"/>
  <c r="M101" i="1"/>
  <c r="C102" i="1"/>
  <c r="D102" i="1"/>
  <c r="M102" i="1"/>
  <c r="C103" i="1"/>
  <c r="D103" i="1"/>
  <c r="M103" i="1"/>
  <c r="C104" i="1"/>
  <c r="D104" i="1"/>
  <c r="M104" i="1"/>
  <c r="C105" i="1"/>
  <c r="D105" i="1"/>
  <c r="M105" i="1"/>
  <c r="C106" i="1"/>
  <c r="D106" i="1"/>
  <c r="M106" i="1"/>
  <c r="C107" i="1"/>
  <c r="D107" i="1"/>
  <c r="M107" i="1"/>
  <c r="C108" i="1"/>
  <c r="D108" i="1"/>
  <c r="M108" i="1"/>
  <c r="C109" i="1"/>
  <c r="D109" i="1"/>
  <c r="M109" i="1"/>
  <c r="C110" i="1"/>
  <c r="D110" i="1"/>
  <c r="M110" i="1"/>
  <c r="C111" i="1"/>
  <c r="D111" i="1"/>
  <c r="M111" i="1"/>
  <c r="C112" i="1"/>
  <c r="D112" i="1"/>
  <c r="M112" i="1"/>
  <c r="C113" i="1"/>
  <c r="D113" i="1"/>
  <c r="M113" i="1"/>
  <c r="C114" i="1"/>
  <c r="D114" i="1"/>
  <c r="M114" i="1"/>
  <c r="C115" i="1"/>
  <c r="D115" i="1"/>
  <c r="M115" i="1"/>
  <c r="C116" i="1"/>
  <c r="D116" i="1"/>
  <c r="M116" i="1"/>
  <c r="C117" i="1"/>
  <c r="D117" i="1"/>
  <c r="M117" i="1"/>
  <c r="C118" i="1"/>
  <c r="D118" i="1"/>
  <c r="M118" i="1"/>
  <c r="C119" i="1"/>
  <c r="D119" i="1"/>
  <c r="M119" i="1"/>
  <c r="C120" i="1"/>
  <c r="D120" i="1"/>
  <c r="M120" i="1"/>
  <c r="C121" i="1"/>
  <c r="D121" i="1"/>
  <c r="M121" i="1"/>
  <c r="C122" i="1"/>
  <c r="D122" i="1"/>
  <c r="M122" i="1"/>
  <c r="C123" i="1"/>
  <c r="D123" i="1"/>
  <c r="M123" i="1"/>
  <c r="C124" i="1"/>
  <c r="D124" i="1"/>
  <c r="M124" i="1"/>
  <c r="C125" i="1"/>
  <c r="D125" i="1"/>
  <c r="M125" i="1"/>
  <c r="C126" i="1"/>
  <c r="D126" i="1"/>
  <c r="M126" i="1"/>
  <c r="C127" i="1"/>
  <c r="D127" i="1"/>
  <c r="M127" i="1"/>
  <c r="C128" i="1"/>
  <c r="D128" i="1"/>
  <c r="M128" i="1"/>
  <c r="C129" i="1"/>
  <c r="D129" i="1"/>
  <c r="M129" i="1"/>
  <c r="C130" i="1"/>
  <c r="D130" i="1"/>
  <c r="M130" i="1"/>
  <c r="C131" i="1"/>
  <c r="D131" i="1"/>
  <c r="M131" i="1"/>
  <c r="C132" i="1"/>
  <c r="D132" i="1"/>
  <c r="M132" i="1"/>
  <c r="C133" i="1"/>
  <c r="D133" i="1"/>
  <c r="M133" i="1"/>
  <c r="C134" i="1"/>
  <c r="D134" i="1"/>
  <c r="M134" i="1"/>
  <c r="C135" i="1"/>
  <c r="D135" i="1"/>
  <c r="M135" i="1"/>
  <c r="C136" i="1"/>
  <c r="D136" i="1"/>
  <c r="M136" i="1"/>
  <c r="C137" i="1"/>
  <c r="D137" i="1"/>
  <c r="M137" i="1"/>
  <c r="C138" i="1"/>
  <c r="D138" i="1"/>
  <c r="M138" i="1"/>
  <c r="C139" i="1"/>
  <c r="D139" i="1"/>
  <c r="M139" i="1"/>
  <c r="C140" i="1"/>
  <c r="D140" i="1"/>
  <c r="M140" i="1"/>
  <c r="C141" i="1"/>
  <c r="D141" i="1"/>
  <c r="M141" i="1"/>
  <c r="C142" i="1"/>
  <c r="D142" i="1"/>
  <c r="M142" i="1"/>
  <c r="C143" i="1"/>
  <c r="D143" i="1"/>
  <c r="M143" i="1"/>
  <c r="C144" i="1"/>
  <c r="D144" i="1"/>
  <c r="M144" i="1"/>
  <c r="C145" i="1"/>
  <c r="D145" i="1"/>
  <c r="M145" i="1"/>
  <c r="C146" i="1"/>
  <c r="D146" i="1"/>
  <c r="M146" i="1"/>
  <c r="C147" i="1"/>
  <c r="D147" i="1"/>
  <c r="M147" i="1"/>
  <c r="C148" i="1"/>
  <c r="D148" i="1"/>
  <c r="M148" i="1"/>
  <c r="C149" i="1"/>
  <c r="D149" i="1"/>
  <c r="M149" i="1"/>
  <c r="C150" i="1"/>
  <c r="D150" i="1"/>
  <c r="M150" i="1"/>
  <c r="C151" i="1"/>
  <c r="D151" i="1"/>
  <c r="M151" i="1"/>
  <c r="C152" i="1"/>
  <c r="D152" i="1"/>
  <c r="M152" i="1"/>
  <c r="C153" i="1"/>
  <c r="D153" i="1"/>
  <c r="M153" i="1"/>
  <c r="C154" i="1"/>
  <c r="D154" i="1"/>
  <c r="M154" i="1"/>
  <c r="C155" i="1"/>
  <c r="D155" i="1"/>
  <c r="M155" i="1"/>
  <c r="C156" i="1"/>
  <c r="D156" i="1"/>
  <c r="M156" i="1"/>
  <c r="C157" i="1"/>
  <c r="D157" i="1"/>
  <c r="M157" i="1"/>
  <c r="C158" i="1"/>
  <c r="D158" i="1"/>
  <c r="M158" i="1"/>
  <c r="C159" i="1"/>
  <c r="D159" i="1"/>
  <c r="M159" i="1"/>
  <c r="C160" i="1"/>
  <c r="D160" i="1"/>
  <c r="M160" i="1"/>
  <c r="C161" i="1"/>
  <c r="D161" i="1"/>
  <c r="M161" i="1"/>
  <c r="C162" i="1"/>
  <c r="D162" i="1"/>
  <c r="M162" i="1"/>
  <c r="C163" i="1"/>
  <c r="D163" i="1"/>
  <c r="M163" i="1"/>
  <c r="C164" i="1"/>
  <c r="D164" i="1"/>
  <c r="M164" i="1"/>
  <c r="C165" i="1"/>
  <c r="D165" i="1"/>
  <c r="M165" i="1"/>
  <c r="C166" i="1"/>
  <c r="D166" i="1"/>
  <c r="M166" i="1"/>
  <c r="C167" i="1"/>
  <c r="D167" i="1"/>
  <c r="M167" i="1"/>
  <c r="C168" i="1"/>
  <c r="D168" i="1"/>
  <c r="M168" i="1"/>
  <c r="C169" i="1"/>
  <c r="D169" i="1"/>
  <c r="M169" i="1"/>
  <c r="C170" i="1"/>
  <c r="D170" i="1"/>
  <c r="M170" i="1"/>
  <c r="C171" i="1"/>
  <c r="D171" i="1"/>
  <c r="M171" i="1"/>
  <c r="C172" i="1"/>
  <c r="D172" i="1"/>
  <c r="M172" i="1"/>
  <c r="C173" i="1"/>
  <c r="D173" i="1"/>
  <c r="M173" i="1"/>
  <c r="C174" i="1"/>
  <c r="D174" i="1"/>
  <c r="M174" i="1"/>
  <c r="C175" i="1"/>
  <c r="D175" i="1"/>
  <c r="M175" i="1"/>
  <c r="C176" i="1"/>
  <c r="D176" i="1"/>
  <c r="M176" i="1"/>
  <c r="C177" i="1"/>
  <c r="D177" i="1"/>
  <c r="M177" i="1"/>
  <c r="C178" i="1"/>
  <c r="D178" i="1"/>
  <c r="M178" i="1"/>
  <c r="C179" i="1"/>
  <c r="D179" i="1"/>
  <c r="M179" i="1"/>
  <c r="C180" i="1"/>
  <c r="D180" i="1"/>
  <c r="M180" i="1"/>
  <c r="C181" i="1"/>
  <c r="D181" i="1"/>
  <c r="M181" i="1"/>
  <c r="C182" i="1"/>
  <c r="D182" i="1"/>
  <c r="M182" i="1"/>
  <c r="C183" i="1"/>
  <c r="D183" i="1"/>
  <c r="M183" i="1"/>
  <c r="C184" i="1"/>
  <c r="D184" i="1"/>
  <c r="M184" i="1"/>
  <c r="C185" i="1"/>
  <c r="D185" i="1"/>
  <c r="M185" i="1"/>
  <c r="C186" i="1"/>
  <c r="D186" i="1"/>
  <c r="M186" i="1"/>
  <c r="C187" i="1"/>
  <c r="D187" i="1"/>
  <c r="M187" i="1"/>
  <c r="C188" i="1"/>
  <c r="D188" i="1"/>
  <c r="M188" i="1"/>
  <c r="C189" i="1"/>
  <c r="D189" i="1"/>
  <c r="M189" i="1"/>
  <c r="C190" i="1"/>
  <c r="D190" i="1"/>
  <c r="M190" i="1"/>
  <c r="C191" i="1"/>
  <c r="D191" i="1"/>
  <c r="M191" i="1"/>
  <c r="C192" i="1"/>
  <c r="D192" i="1"/>
  <c r="M192" i="1"/>
  <c r="C193" i="1"/>
  <c r="D193" i="1"/>
  <c r="M193" i="1"/>
  <c r="C194" i="1"/>
  <c r="D194" i="1"/>
  <c r="M194" i="1"/>
  <c r="C195" i="1"/>
  <c r="D195" i="1"/>
  <c r="M195" i="1"/>
  <c r="C196" i="1"/>
  <c r="D196" i="1"/>
  <c r="M196" i="1"/>
  <c r="C197" i="1"/>
  <c r="D197" i="1"/>
  <c r="M197" i="1"/>
  <c r="C198" i="1"/>
  <c r="D198" i="1"/>
  <c r="M198" i="1"/>
  <c r="C199" i="1"/>
  <c r="D199" i="1"/>
  <c r="M199" i="1"/>
  <c r="C200" i="1"/>
  <c r="D200" i="1"/>
  <c r="M200" i="1"/>
  <c r="C201" i="1"/>
  <c r="D201" i="1"/>
  <c r="M201" i="1"/>
  <c r="C202" i="1"/>
  <c r="D202" i="1"/>
  <c r="M202" i="1"/>
  <c r="C203" i="1"/>
  <c r="D203" i="1"/>
  <c r="M203" i="1"/>
  <c r="C204" i="1"/>
  <c r="D204" i="1"/>
  <c r="M204" i="1"/>
  <c r="C205" i="1"/>
  <c r="D205" i="1"/>
  <c r="M205" i="1"/>
  <c r="C206" i="1"/>
  <c r="D206" i="1"/>
  <c r="M206" i="1"/>
  <c r="C207" i="1"/>
  <c r="D207" i="1"/>
  <c r="M207" i="1"/>
  <c r="C208" i="1"/>
  <c r="D208" i="1"/>
  <c r="M208" i="1"/>
  <c r="C209" i="1"/>
  <c r="D209" i="1"/>
  <c r="M209" i="1"/>
  <c r="C210" i="1"/>
  <c r="D210" i="1"/>
  <c r="M210" i="1"/>
  <c r="C211" i="1"/>
  <c r="D211" i="1"/>
  <c r="M211" i="1"/>
  <c r="C212" i="1"/>
  <c r="D212" i="1"/>
  <c r="M212" i="1"/>
  <c r="C213" i="1"/>
  <c r="D213" i="1"/>
  <c r="M213" i="1"/>
  <c r="C214" i="1"/>
  <c r="D214" i="1"/>
  <c r="M214" i="1"/>
  <c r="C215" i="1"/>
  <c r="D215" i="1"/>
  <c r="M215" i="1"/>
  <c r="C216" i="1"/>
  <c r="D216" i="1"/>
  <c r="M216" i="1"/>
  <c r="C217" i="1"/>
  <c r="D217" i="1"/>
  <c r="M217" i="1"/>
  <c r="C218" i="1"/>
  <c r="D218" i="1"/>
  <c r="M218" i="1"/>
  <c r="C219" i="1"/>
  <c r="D219" i="1"/>
  <c r="M219" i="1"/>
  <c r="C220" i="1"/>
  <c r="D220" i="1"/>
  <c r="M220" i="1"/>
  <c r="C221" i="1"/>
  <c r="D221" i="1"/>
  <c r="M221" i="1"/>
  <c r="C222" i="1"/>
  <c r="D222" i="1"/>
  <c r="M222" i="1"/>
  <c r="C223" i="1"/>
  <c r="D223" i="1"/>
  <c r="M223" i="1"/>
  <c r="C224" i="1"/>
  <c r="D224" i="1"/>
  <c r="M224" i="1"/>
  <c r="C225" i="1"/>
  <c r="D225" i="1"/>
  <c r="M225" i="1"/>
  <c r="C226" i="1"/>
  <c r="D226" i="1"/>
  <c r="M226" i="1"/>
  <c r="C227" i="1"/>
  <c r="D227" i="1"/>
  <c r="M227" i="1"/>
  <c r="C228" i="1"/>
  <c r="D228" i="1"/>
  <c r="M228" i="1"/>
  <c r="C229" i="1"/>
  <c r="D229" i="1"/>
  <c r="M229" i="1"/>
  <c r="C230" i="1"/>
  <c r="D230" i="1"/>
  <c r="M230" i="1"/>
  <c r="C231" i="1"/>
  <c r="D231" i="1"/>
  <c r="M231" i="1"/>
  <c r="C232" i="1"/>
  <c r="D232" i="1"/>
  <c r="M232" i="1"/>
  <c r="C233" i="1"/>
  <c r="D233" i="1"/>
  <c r="M233" i="1"/>
  <c r="C234" i="1"/>
  <c r="D234" i="1"/>
  <c r="M234" i="1"/>
  <c r="C235" i="1"/>
  <c r="D235" i="1"/>
  <c r="M235" i="1"/>
  <c r="C236" i="1"/>
  <c r="D236" i="1"/>
  <c r="M236" i="1"/>
  <c r="C237" i="1"/>
  <c r="D237" i="1"/>
  <c r="M237" i="1"/>
  <c r="C238" i="1"/>
  <c r="D238" i="1"/>
  <c r="M238" i="1"/>
  <c r="C239" i="1"/>
  <c r="D239" i="1"/>
  <c r="M239" i="1"/>
  <c r="C240" i="1"/>
  <c r="D240" i="1"/>
  <c r="M240" i="1"/>
  <c r="C241" i="1"/>
  <c r="D241" i="1"/>
  <c r="M241" i="1"/>
  <c r="C242" i="1"/>
  <c r="D242" i="1"/>
  <c r="M242" i="1"/>
  <c r="C243" i="1"/>
  <c r="D243" i="1"/>
  <c r="M243" i="1"/>
  <c r="C244" i="1"/>
  <c r="D244" i="1"/>
  <c r="M244" i="1"/>
  <c r="C245" i="1"/>
  <c r="D245" i="1"/>
  <c r="M245" i="1"/>
  <c r="C246" i="1"/>
  <c r="D246" i="1"/>
  <c r="M246" i="1"/>
  <c r="C247" i="1"/>
  <c r="D247" i="1"/>
  <c r="M247" i="1"/>
  <c r="C248" i="1"/>
  <c r="D248" i="1"/>
  <c r="M248" i="1"/>
  <c r="C249" i="1"/>
  <c r="D249" i="1"/>
  <c r="M249" i="1"/>
  <c r="C250" i="1"/>
  <c r="D250" i="1"/>
  <c r="M250" i="1"/>
  <c r="C251" i="1"/>
  <c r="D251" i="1"/>
  <c r="M251" i="1"/>
  <c r="C252" i="1"/>
  <c r="D252" i="1"/>
  <c r="M252" i="1"/>
  <c r="C253" i="1"/>
  <c r="D253" i="1"/>
  <c r="M253" i="1"/>
  <c r="C254" i="1"/>
  <c r="D254" i="1"/>
  <c r="M254" i="1"/>
  <c r="C255" i="1"/>
  <c r="D255" i="1"/>
  <c r="M255" i="1"/>
  <c r="C256" i="1"/>
  <c r="D256" i="1"/>
  <c r="M256" i="1"/>
  <c r="C257" i="1"/>
  <c r="D257" i="1"/>
  <c r="M257" i="1"/>
  <c r="C258" i="1"/>
  <c r="D258" i="1"/>
  <c r="M258" i="1"/>
  <c r="C259" i="1"/>
  <c r="D259" i="1"/>
  <c r="M259" i="1"/>
  <c r="C260" i="1"/>
  <c r="D260" i="1"/>
  <c r="M260" i="1"/>
  <c r="C261" i="1"/>
  <c r="D261" i="1"/>
  <c r="M261" i="1"/>
  <c r="C262" i="1"/>
  <c r="D262" i="1"/>
  <c r="M262" i="1"/>
  <c r="C263" i="1"/>
  <c r="D263" i="1"/>
  <c r="M263" i="1"/>
  <c r="C264" i="1"/>
  <c r="D264" i="1"/>
  <c r="M264" i="1"/>
  <c r="C265" i="1"/>
  <c r="D265" i="1"/>
  <c r="M265" i="1"/>
  <c r="C266" i="1"/>
  <c r="D266" i="1"/>
  <c r="M266" i="1"/>
  <c r="C267" i="1"/>
  <c r="D267" i="1"/>
  <c r="M267" i="1"/>
  <c r="C268" i="1"/>
  <c r="D268" i="1"/>
  <c r="M268" i="1"/>
  <c r="C269" i="1"/>
  <c r="D269" i="1"/>
  <c r="M269" i="1"/>
  <c r="C270" i="1"/>
  <c r="D270" i="1"/>
  <c r="M270" i="1"/>
  <c r="C271" i="1"/>
  <c r="D271" i="1"/>
  <c r="M271" i="1"/>
  <c r="C272" i="1"/>
  <c r="D272" i="1"/>
  <c r="M272" i="1"/>
  <c r="C273" i="1"/>
  <c r="D273" i="1"/>
  <c r="M273" i="1"/>
  <c r="C274" i="1"/>
  <c r="D274" i="1"/>
  <c r="M274" i="1"/>
  <c r="C275" i="1"/>
  <c r="D275" i="1"/>
  <c r="M275" i="1"/>
  <c r="C276" i="1"/>
  <c r="D276" i="1"/>
  <c r="M276" i="1"/>
  <c r="C277" i="1"/>
  <c r="D277" i="1"/>
  <c r="M277" i="1"/>
  <c r="C278" i="1"/>
  <c r="D278" i="1"/>
  <c r="M278" i="1"/>
  <c r="C279" i="1"/>
  <c r="D279" i="1"/>
  <c r="M279" i="1"/>
  <c r="C280" i="1"/>
  <c r="D280" i="1"/>
  <c r="M280" i="1"/>
  <c r="C281" i="1"/>
  <c r="D281" i="1"/>
  <c r="M281" i="1"/>
  <c r="C282" i="1"/>
  <c r="D282" i="1"/>
  <c r="M282" i="1"/>
  <c r="C283" i="1"/>
  <c r="D283" i="1"/>
  <c r="M283" i="1"/>
  <c r="C284" i="1"/>
  <c r="D284" i="1"/>
  <c r="M284" i="1"/>
  <c r="C285" i="1"/>
  <c r="D285" i="1"/>
  <c r="M285" i="1"/>
  <c r="C286" i="1"/>
  <c r="D286" i="1"/>
  <c r="M286" i="1"/>
  <c r="C287" i="1"/>
  <c r="D287" i="1"/>
  <c r="M287" i="1"/>
  <c r="C288" i="1"/>
  <c r="D288" i="1"/>
  <c r="M288" i="1"/>
  <c r="C289" i="1"/>
  <c r="D289" i="1"/>
  <c r="M289" i="1"/>
  <c r="C290" i="1"/>
  <c r="D290" i="1"/>
  <c r="M290" i="1"/>
  <c r="C291" i="1"/>
  <c r="D291" i="1"/>
  <c r="M291" i="1"/>
  <c r="C292" i="1"/>
  <c r="D292" i="1"/>
  <c r="M292" i="1"/>
  <c r="C293" i="1"/>
  <c r="D293" i="1"/>
  <c r="M293" i="1"/>
  <c r="C294" i="1"/>
  <c r="D294" i="1"/>
  <c r="M294" i="1"/>
  <c r="C295" i="1"/>
  <c r="D295" i="1"/>
  <c r="M295" i="1"/>
  <c r="C296" i="1"/>
  <c r="D296" i="1"/>
  <c r="M296" i="1"/>
  <c r="C297" i="1"/>
  <c r="D297" i="1"/>
  <c r="M297" i="1"/>
  <c r="C298" i="1"/>
  <c r="D298" i="1"/>
  <c r="M298" i="1"/>
  <c r="C299" i="1"/>
  <c r="D299" i="1"/>
  <c r="M299" i="1"/>
  <c r="C300" i="1"/>
  <c r="D300" i="1"/>
  <c r="M300" i="1"/>
  <c r="C301" i="1"/>
  <c r="D301" i="1"/>
  <c r="M301" i="1"/>
  <c r="C302" i="1"/>
  <c r="D302" i="1"/>
  <c r="M302" i="1"/>
  <c r="C303" i="1"/>
  <c r="D303" i="1"/>
  <c r="M303" i="1"/>
  <c r="C304" i="1"/>
  <c r="D304" i="1"/>
  <c r="M304" i="1"/>
  <c r="C305" i="1"/>
  <c r="D305" i="1"/>
  <c r="M305" i="1"/>
  <c r="C306" i="1"/>
  <c r="D306" i="1"/>
  <c r="M306" i="1"/>
  <c r="C307" i="1"/>
  <c r="D307" i="1"/>
  <c r="M307" i="1"/>
  <c r="C308" i="1"/>
  <c r="D308" i="1"/>
  <c r="M308" i="1"/>
  <c r="C309" i="1"/>
  <c r="D309" i="1"/>
  <c r="M309" i="1"/>
  <c r="C310" i="1"/>
  <c r="D310" i="1"/>
  <c r="M310" i="1"/>
  <c r="C311" i="1"/>
  <c r="D311" i="1"/>
  <c r="M311" i="1"/>
  <c r="C312" i="1"/>
  <c r="D312" i="1"/>
  <c r="M312" i="1"/>
  <c r="C313" i="1"/>
  <c r="D313" i="1"/>
  <c r="M313" i="1"/>
  <c r="C314" i="1"/>
  <c r="D314" i="1"/>
  <c r="M314" i="1"/>
  <c r="C315" i="1"/>
  <c r="D315" i="1"/>
  <c r="M315" i="1"/>
  <c r="C316" i="1"/>
  <c r="D316" i="1"/>
  <c r="M316" i="1"/>
  <c r="C317" i="1"/>
  <c r="D317" i="1"/>
  <c r="M317" i="1"/>
  <c r="C318" i="1"/>
  <c r="D318" i="1"/>
  <c r="M318" i="1"/>
  <c r="C319" i="1"/>
  <c r="D319" i="1"/>
  <c r="M319" i="1"/>
  <c r="C320" i="1"/>
  <c r="D320" i="1"/>
  <c r="M320" i="1"/>
  <c r="C321" i="1"/>
  <c r="D321" i="1"/>
  <c r="M321" i="1"/>
  <c r="C322" i="1"/>
  <c r="D322" i="1"/>
  <c r="M322" i="1"/>
  <c r="C323" i="1"/>
  <c r="D323" i="1"/>
  <c r="M323" i="1"/>
  <c r="C324" i="1"/>
  <c r="D324" i="1"/>
  <c r="M324" i="1"/>
  <c r="C325" i="1"/>
  <c r="D325" i="1"/>
  <c r="M325" i="1"/>
  <c r="C326" i="1"/>
  <c r="D326" i="1"/>
  <c r="M326" i="1"/>
  <c r="C327" i="1"/>
  <c r="D327" i="1"/>
  <c r="M327" i="1"/>
  <c r="C328" i="1"/>
  <c r="D328" i="1"/>
  <c r="M328" i="1"/>
  <c r="C329" i="1"/>
  <c r="D329" i="1"/>
  <c r="M329" i="1"/>
  <c r="C330" i="1"/>
  <c r="D330" i="1"/>
  <c r="M330" i="1"/>
  <c r="C331" i="1"/>
  <c r="D331" i="1"/>
  <c r="M331" i="1"/>
  <c r="C332" i="1"/>
  <c r="D332" i="1"/>
  <c r="M332" i="1"/>
  <c r="C333" i="1"/>
  <c r="D333" i="1"/>
  <c r="M333" i="1"/>
  <c r="C334" i="1"/>
  <c r="D334" i="1"/>
  <c r="M334" i="1"/>
  <c r="C335" i="1"/>
  <c r="D335" i="1"/>
  <c r="M335" i="1"/>
  <c r="C336" i="1"/>
  <c r="D336" i="1"/>
  <c r="M336" i="1"/>
  <c r="C337" i="1"/>
  <c r="D337" i="1"/>
  <c r="M337" i="1"/>
  <c r="C338" i="1"/>
  <c r="D338" i="1"/>
  <c r="M338" i="1"/>
  <c r="C339" i="1"/>
  <c r="D339" i="1"/>
  <c r="M339" i="1"/>
  <c r="C340" i="1"/>
  <c r="D340" i="1"/>
  <c r="M340" i="1"/>
  <c r="C341" i="1"/>
  <c r="D341" i="1"/>
  <c r="M341" i="1"/>
  <c r="C342" i="1"/>
  <c r="D342" i="1"/>
  <c r="M342" i="1"/>
  <c r="C343" i="1"/>
  <c r="D343" i="1"/>
  <c r="M343" i="1"/>
  <c r="C344" i="1"/>
  <c r="D344" i="1"/>
  <c r="M344" i="1"/>
  <c r="C345" i="1"/>
  <c r="D345" i="1"/>
  <c r="M345" i="1"/>
  <c r="C346" i="1"/>
  <c r="D346" i="1"/>
  <c r="M346" i="1"/>
  <c r="C347" i="1"/>
  <c r="D347" i="1"/>
  <c r="M347" i="1"/>
  <c r="C348" i="1"/>
  <c r="D348" i="1"/>
  <c r="M348" i="1"/>
  <c r="C349" i="1"/>
  <c r="D349" i="1"/>
  <c r="M349" i="1"/>
  <c r="C350" i="1"/>
  <c r="D350" i="1"/>
  <c r="M350" i="1"/>
  <c r="C351" i="1"/>
  <c r="D351" i="1"/>
  <c r="M351" i="1"/>
  <c r="C352" i="1"/>
  <c r="D352" i="1"/>
  <c r="M352" i="1"/>
  <c r="C353" i="1"/>
  <c r="D353" i="1"/>
  <c r="M353" i="1"/>
  <c r="C354" i="1"/>
  <c r="D354" i="1"/>
  <c r="M354" i="1"/>
  <c r="C355" i="1"/>
  <c r="D355" i="1"/>
  <c r="M355" i="1"/>
  <c r="C356" i="1"/>
  <c r="D356" i="1"/>
  <c r="M356" i="1"/>
  <c r="C357" i="1"/>
  <c r="D357" i="1"/>
  <c r="M357" i="1"/>
  <c r="C358" i="1"/>
  <c r="D358" i="1"/>
  <c r="M358" i="1"/>
  <c r="C359" i="1"/>
  <c r="D359" i="1"/>
  <c r="M359" i="1"/>
  <c r="C360" i="1"/>
  <c r="D360" i="1"/>
  <c r="M360" i="1"/>
  <c r="C361" i="1"/>
  <c r="D361" i="1"/>
  <c r="M361" i="1"/>
  <c r="C362" i="1"/>
  <c r="D362" i="1"/>
  <c r="M362" i="1"/>
  <c r="C363" i="1"/>
  <c r="D363" i="1"/>
  <c r="M363" i="1"/>
  <c r="C364" i="1"/>
  <c r="D364" i="1"/>
  <c r="M364" i="1"/>
  <c r="C365" i="1"/>
  <c r="D365" i="1"/>
  <c r="M365" i="1"/>
  <c r="C366" i="1"/>
  <c r="D366" i="1"/>
  <c r="M366" i="1"/>
  <c r="C367" i="1"/>
  <c r="D367" i="1"/>
  <c r="M367" i="1"/>
  <c r="C368" i="1"/>
  <c r="D368" i="1"/>
  <c r="M368" i="1"/>
  <c r="C369" i="1"/>
  <c r="D369" i="1"/>
  <c r="M369" i="1"/>
  <c r="C370" i="1"/>
  <c r="D370" i="1"/>
  <c r="M370" i="1"/>
  <c r="C371" i="1"/>
  <c r="D371" i="1"/>
  <c r="M371" i="1"/>
  <c r="C372" i="1"/>
  <c r="D372" i="1"/>
  <c r="M372" i="1"/>
  <c r="C373" i="1"/>
  <c r="D373" i="1"/>
  <c r="M373" i="1"/>
  <c r="C374" i="1"/>
  <c r="D374" i="1"/>
  <c r="M374" i="1"/>
  <c r="C375" i="1"/>
  <c r="D375" i="1"/>
  <c r="M375" i="1"/>
  <c r="C376" i="1"/>
  <c r="D376" i="1"/>
  <c r="M376" i="1"/>
  <c r="C377" i="1"/>
  <c r="D377" i="1"/>
  <c r="M377" i="1"/>
  <c r="C378" i="1"/>
  <c r="D378" i="1"/>
  <c r="M378" i="1"/>
  <c r="C379" i="1"/>
  <c r="D379" i="1"/>
  <c r="M379" i="1"/>
  <c r="C380" i="1"/>
  <c r="D380" i="1"/>
  <c r="M380" i="1"/>
  <c r="C381" i="1"/>
  <c r="D381" i="1"/>
  <c r="M381" i="1"/>
  <c r="C382" i="1"/>
  <c r="D382" i="1"/>
  <c r="M382" i="1"/>
  <c r="C383" i="1"/>
  <c r="D383" i="1"/>
  <c r="M383" i="1"/>
  <c r="C384" i="1"/>
  <c r="D384" i="1"/>
  <c r="M384" i="1"/>
  <c r="C385" i="1"/>
  <c r="D385" i="1"/>
  <c r="M385" i="1"/>
  <c r="C386" i="1"/>
  <c r="D386" i="1"/>
  <c r="M386" i="1"/>
  <c r="C387" i="1"/>
  <c r="D387" i="1"/>
  <c r="M387" i="1"/>
  <c r="C388" i="1"/>
  <c r="D388" i="1"/>
  <c r="M388" i="1"/>
  <c r="C389" i="1"/>
  <c r="D389" i="1"/>
  <c r="M389" i="1"/>
  <c r="C390" i="1"/>
  <c r="D390" i="1"/>
  <c r="M390" i="1"/>
  <c r="C391" i="1"/>
  <c r="D391" i="1"/>
  <c r="M391" i="1"/>
  <c r="C392" i="1"/>
  <c r="D392" i="1"/>
  <c r="M392" i="1"/>
  <c r="C393" i="1"/>
  <c r="D393" i="1"/>
  <c r="M393" i="1"/>
  <c r="C394" i="1"/>
  <c r="D394" i="1"/>
  <c r="M394" i="1"/>
  <c r="C395" i="1"/>
  <c r="D395" i="1"/>
  <c r="M395" i="1"/>
  <c r="C396" i="1"/>
  <c r="D396" i="1"/>
  <c r="M396" i="1"/>
  <c r="C397" i="1"/>
  <c r="D397" i="1"/>
  <c r="M397" i="1"/>
  <c r="C398" i="1"/>
  <c r="D398" i="1"/>
  <c r="M398" i="1"/>
  <c r="C399" i="1"/>
  <c r="D399" i="1"/>
  <c r="M399" i="1"/>
  <c r="C400" i="1"/>
  <c r="D400" i="1"/>
  <c r="M400" i="1"/>
  <c r="C401" i="1"/>
  <c r="D401" i="1"/>
  <c r="M401" i="1"/>
  <c r="C402" i="1"/>
  <c r="D402" i="1"/>
  <c r="M402" i="1"/>
  <c r="C403" i="1"/>
  <c r="D403" i="1"/>
  <c r="M403" i="1"/>
  <c r="C404" i="1"/>
  <c r="D404" i="1"/>
  <c r="M404" i="1"/>
  <c r="C405" i="1"/>
  <c r="D405" i="1"/>
  <c r="M405" i="1"/>
  <c r="C406" i="1"/>
  <c r="D406" i="1"/>
  <c r="M406" i="1"/>
  <c r="C407" i="1"/>
  <c r="D407" i="1"/>
  <c r="M407" i="1"/>
  <c r="C408" i="1"/>
  <c r="D408" i="1"/>
  <c r="M408" i="1"/>
  <c r="C409" i="1"/>
  <c r="D409" i="1"/>
  <c r="M409" i="1"/>
  <c r="C410" i="1"/>
  <c r="D410" i="1"/>
  <c r="M410" i="1"/>
  <c r="C411" i="1"/>
  <c r="D411" i="1"/>
  <c r="M411" i="1"/>
  <c r="C412" i="1"/>
  <c r="D412" i="1"/>
  <c r="M412" i="1"/>
  <c r="C413" i="1"/>
  <c r="D413" i="1"/>
  <c r="M413" i="1"/>
  <c r="C414" i="1"/>
  <c r="D414" i="1"/>
  <c r="M414" i="1"/>
  <c r="C415" i="1"/>
  <c r="D415" i="1"/>
  <c r="M415" i="1"/>
  <c r="C416" i="1"/>
  <c r="D416" i="1"/>
  <c r="M416" i="1"/>
  <c r="C417" i="1"/>
  <c r="D417" i="1"/>
  <c r="M417" i="1"/>
  <c r="C418" i="1"/>
  <c r="D418" i="1"/>
  <c r="M418" i="1"/>
  <c r="C419" i="1"/>
  <c r="D419" i="1"/>
  <c r="M419" i="1"/>
  <c r="C420" i="1"/>
  <c r="D420" i="1"/>
  <c r="M420" i="1"/>
  <c r="C421" i="1"/>
  <c r="D421" i="1"/>
  <c r="M421" i="1"/>
  <c r="C422" i="1"/>
  <c r="D422" i="1"/>
  <c r="M422" i="1"/>
  <c r="C423" i="1"/>
  <c r="D423" i="1"/>
  <c r="M423" i="1"/>
  <c r="C424" i="1"/>
  <c r="D424" i="1"/>
  <c r="M424" i="1"/>
  <c r="C425" i="1"/>
  <c r="D425" i="1"/>
  <c r="M425" i="1"/>
  <c r="C426" i="1"/>
  <c r="D426" i="1"/>
  <c r="M426" i="1"/>
  <c r="C427" i="1"/>
  <c r="D427" i="1"/>
  <c r="M427" i="1"/>
  <c r="C428" i="1"/>
  <c r="D428" i="1"/>
  <c r="M428" i="1"/>
  <c r="C429" i="1"/>
  <c r="D429" i="1"/>
  <c r="M429" i="1"/>
  <c r="C430" i="1"/>
  <c r="D430" i="1"/>
  <c r="M430" i="1"/>
  <c r="C431" i="1"/>
  <c r="D431" i="1"/>
  <c r="M431" i="1"/>
  <c r="C432" i="1"/>
  <c r="D432" i="1"/>
  <c r="M432" i="1"/>
  <c r="C433" i="1"/>
  <c r="D433" i="1"/>
  <c r="M433" i="1"/>
  <c r="C434" i="1"/>
  <c r="D434" i="1"/>
  <c r="M434" i="1"/>
  <c r="C435" i="1"/>
  <c r="D435" i="1"/>
  <c r="M435" i="1"/>
  <c r="C436" i="1"/>
  <c r="D436" i="1"/>
  <c r="M436" i="1"/>
  <c r="C437" i="1"/>
  <c r="D437" i="1"/>
  <c r="M437" i="1"/>
  <c r="C438" i="1"/>
  <c r="D438" i="1"/>
  <c r="M438" i="1"/>
  <c r="C439" i="1"/>
  <c r="D439" i="1"/>
  <c r="M439" i="1"/>
  <c r="C440" i="1"/>
  <c r="D440" i="1"/>
  <c r="M440" i="1"/>
  <c r="C441" i="1"/>
  <c r="D441" i="1"/>
  <c r="M441" i="1"/>
  <c r="C442" i="1"/>
  <c r="D442" i="1"/>
  <c r="M442" i="1"/>
  <c r="C443" i="1"/>
  <c r="D443" i="1"/>
  <c r="M443" i="1"/>
  <c r="C444" i="1"/>
  <c r="D444" i="1"/>
  <c r="M444" i="1"/>
  <c r="C445" i="1"/>
  <c r="D445" i="1"/>
  <c r="M445" i="1"/>
  <c r="C446" i="1"/>
  <c r="D446" i="1"/>
  <c r="M446" i="1"/>
  <c r="C447" i="1"/>
  <c r="D447" i="1"/>
  <c r="M447" i="1"/>
  <c r="C448" i="1"/>
  <c r="D448" i="1"/>
  <c r="M448" i="1"/>
  <c r="C449" i="1"/>
  <c r="D449" i="1"/>
  <c r="M449" i="1"/>
  <c r="C450" i="1"/>
  <c r="D450" i="1"/>
  <c r="M450" i="1"/>
  <c r="C451" i="1"/>
  <c r="D451" i="1"/>
  <c r="M451" i="1"/>
  <c r="C452" i="1"/>
  <c r="D452" i="1"/>
  <c r="M452" i="1"/>
  <c r="C453" i="1"/>
  <c r="D453" i="1"/>
  <c r="M453" i="1"/>
  <c r="C454" i="1"/>
  <c r="D454" i="1"/>
  <c r="M454" i="1"/>
  <c r="C455" i="1"/>
  <c r="D455" i="1"/>
  <c r="M455" i="1"/>
  <c r="C456" i="1"/>
  <c r="D456" i="1"/>
  <c r="M456" i="1"/>
  <c r="C457" i="1"/>
  <c r="D457" i="1"/>
  <c r="M457" i="1"/>
  <c r="C458" i="1"/>
  <c r="D458" i="1"/>
  <c r="M458" i="1"/>
  <c r="C459" i="1"/>
  <c r="D459" i="1"/>
  <c r="M459" i="1"/>
  <c r="C460" i="1"/>
  <c r="D460" i="1"/>
  <c r="M460" i="1"/>
  <c r="C461" i="1"/>
  <c r="D461" i="1"/>
  <c r="M461" i="1"/>
  <c r="C462" i="1"/>
  <c r="D462" i="1"/>
  <c r="M462" i="1"/>
  <c r="C463" i="1"/>
  <c r="D463" i="1"/>
  <c r="M463" i="1"/>
  <c r="C464" i="1"/>
  <c r="D464" i="1"/>
  <c r="M464" i="1"/>
  <c r="C465" i="1"/>
  <c r="D465" i="1"/>
  <c r="M465" i="1"/>
  <c r="C466" i="1"/>
  <c r="D466" i="1"/>
  <c r="M466" i="1"/>
  <c r="C467" i="1"/>
  <c r="D467" i="1"/>
  <c r="M467" i="1"/>
  <c r="C468" i="1"/>
  <c r="D468" i="1"/>
  <c r="M468" i="1"/>
  <c r="C469" i="1"/>
  <c r="D469" i="1"/>
  <c r="M469" i="1"/>
  <c r="C470" i="1"/>
  <c r="D470" i="1"/>
  <c r="M470" i="1"/>
  <c r="C471" i="1"/>
  <c r="D471" i="1"/>
  <c r="M471" i="1"/>
  <c r="C472" i="1"/>
  <c r="D472" i="1"/>
  <c r="M472" i="1"/>
  <c r="C473" i="1"/>
  <c r="D473" i="1"/>
  <c r="M473" i="1"/>
  <c r="C474" i="1"/>
  <c r="D474" i="1"/>
  <c r="M474" i="1"/>
  <c r="C475" i="1"/>
  <c r="D475" i="1"/>
  <c r="M475" i="1"/>
  <c r="C476" i="1"/>
  <c r="D476" i="1"/>
  <c r="M476" i="1"/>
  <c r="C477" i="1"/>
  <c r="D477" i="1"/>
  <c r="M477" i="1"/>
  <c r="C478" i="1"/>
  <c r="D478" i="1"/>
  <c r="M478" i="1"/>
  <c r="C479" i="1"/>
  <c r="D479" i="1"/>
  <c r="M479" i="1"/>
  <c r="C480" i="1"/>
  <c r="D480" i="1"/>
  <c r="M480" i="1"/>
  <c r="C481" i="1"/>
  <c r="D481" i="1"/>
  <c r="M481" i="1"/>
  <c r="C482" i="1"/>
  <c r="D482" i="1"/>
  <c r="M482" i="1"/>
  <c r="C483" i="1"/>
  <c r="D483" i="1"/>
  <c r="M483" i="1"/>
  <c r="C484" i="1"/>
  <c r="D484" i="1"/>
  <c r="M484" i="1"/>
  <c r="C485" i="1"/>
  <c r="D485" i="1"/>
  <c r="M485" i="1"/>
  <c r="C486" i="1"/>
  <c r="D486" i="1"/>
  <c r="M486" i="1"/>
  <c r="C487" i="1"/>
  <c r="D487" i="1"/>
  <c r="M487" i="1"/>
  <c r="C488" i="1"/>
  <c r="D488" i="1"/>
  <c r="M488" i="1"/>
  <c r="C489" i="1"/>
  <c r="D489" i="1"/>
  <c r="M489" i="1"/>
  <c r="C490" i="1"/>
  <c r="D490" i="1"/>
  <c r="M490" i="1"/>
  <c r="C491" i="1"/>
  <c r="D491" i="1"/>
  <c r="M491" i="1"/>
  <c r="C492" i="1"/>
  <c r="D492" i="1"/>
  <c r="M492" i="1"/>
  <c r="C493" i="1"/>
  <c r="D493" i="1"/>
  <c r="M493" i="1"/>
  <c r="C494" i="1"/>
  <c r="D494" i="1"/>
  <c r="M494" i="1"/>
  <c r="C495" i="1"/>
  <c r="D495" i="1"/>
  <c r="M495" i="1"/>
  <c r="C496" i="1"/>
  <c r="D496" i="1"/>
  <c r="M496" i="1"/>
  <c r="C497" i="1"/>
  <c r="D497" i="1"/>
  <c r="M497" i="1"/>
  <c r="C498" i="1"/>
  <c r="D498" i="1"/>
  <c r="M498" i="1"/>
  <c r="C499" i="1"/>
  <c r="D499" i="1"/>
  <c r="M499" i="1"/>
  <c r="C500" i="1"/>
  <c r="D500" i="1"/>
  <c r="M500" i="1"/>
  <c r="C501" i="1"/>
  <c r="D501" i="1"/>
  <c r="M501" i="1"/>
  <c r="C502" i="1"/>
  <c r="D502" i="1"/>
  <c r="M502" i="1"/>
  <c r="C503" i="1"/>
  <c r="D503" i="1"/>
  <c r="M503" i="1"/>
  <c r="C504" i="1"/>
  <c r="D504" i="1"/>
  <c r="M504" i="1"/>
  <c r="C505" i="1"/>
  <c r="D505" i="1"/>
  <c r="M505" i="1"/>
  <c r="C506" i="1"/>
  <c r="D506" i="1"/>
  <c r="M506" i="1"/>
  <c r="C507" i="1"/>
  <c r="D507" i="1"/>
  <c r="M507" i="1"/>
  <c r="C508" i="1"/>
  <c r="D508" i="1"/>
  <c r="M508" i="1"/>
  <c r="C509" i="1"/>
  <c r="D509" i="1"/>
  <c r="M509" i="1"/>
  <c r="C510" i="1"/>
  <c r="D510" i="1"/>
  <c r="M510" i="1"/>
  <c r="C511" i="1"/>
  <c r="D511" i="1"/>
  <c r="M511" i="1"/>
  <c r="C512" i="1"/>
  <c r="D512" i="1"/>
  <c r="M512" i="1"/>
  <c r="C513" i="1"/>
  <c r="D513" i="1"/>
  <c r="M513" i="1"/>
  <c r="C514" i="1"/>
  <c r="D514" i="1"/>
  <c r="M514" i="1"/>
  <c r="C515" i="1"/>
  <c r="D515" i="1"/>
  <c r="M515" i="1"/>
  <c r="C516" i="1"/>
  <c r="D516" i="1"/>
  <c r="M516" i="1"/>
  <c r="C517" i="1"/>
  <c r="D517" i="1"/>
  <c r="M517" i="1"/>
  <c r="C518" i="1"/>
  <c r="D518" i="1"/>
  <c r="M518" i="1"/>
  <c r="C519" i="1"/>
  <c r="D519" i="1"/>
  <c r="M519" i="1"/>
  <c r="C520" i="1"/>
  <c r="D520" i="1"/>
  <c r="M520" i="1"/>
  <c r="C521" i="1"/>
  <c r="D521" i="1"/>
  <c r="M521" i="1"/>
  <c r="C522" i="1"/>
  <c r="D522" i="1"/>
  <c r="M522" i="1"/>
  <c r="C523" i="1"/>
  <c r="D523" i="1"/>
  <c r="M523" i="1"/>
  <c r="C524" i="1"/>
  <c r="D524" i="1"/>
  <c r="M524" i="1"/>
  <c r="C525" i="1"/>
  <c r="D525" i="1"/>
  <c r="M525" i="1"/>
  <c r="C526" i="1"/>
  <c r="D526" i="1"/>
  <c r="M526" i="1"/>
  <c r="C527" i="1"/>
  <c r="D527" i="1"/>
  <c r="M527" i="1"/>
  <c r="C528" i="1"/>
  <c r="D528" i="1"/>
  <c r="M528" i="1"/>
  <c r="C529" i="1"/>
  <c r="D529" i="1"/>
  <c r="M529" i="1"/>
  <c r="C530" i="1"/>
  <c r="D530" i="1"/>
  <c r="M530" i="1"/>
  <c r="C531" i="1"/>
  <c r="D531" i="1"/>
  <c r="M531" i="1"/>
  <c r="C532" i="1"/>
  <c r="D532" i="1"/>
  <c r="M532" i="1"/>
  <c r="C533" i="1"/>
  <c r="D533" i="1"/>
  <c r="M533" i="1"/>
  <c r="C534" i="1"/>
  <c r="D534" i="1"/>
  <c r="M534" i="1"/>
  <c r="C535" i="1"/>
  <c r="D535" i="1"/>
  <c r="M535" i="1"/>
  <c r="C536" i="1"/>
  <c r="D536" i="1"/>
  <c r="M536" i="1"/>
  <c r="C537" i="1"/>
  <c r="D537" i="1"/>
  <c r="M537" i="1"/>
  <c r="C538" i="1"/>
  <c r="D538" i="1"/>
  <c r="M538" i="1"/>
  <c r="C539" i="1"/>
  <c r="D539" i="1"/>
  <c r="M539" i="1"/>
  <c r="C540" i="1"/>
  <c r="D540" i="1"/>
  <c r="M540" i="1"/>
  <c r="C541" i="1"/>
  <c r="D541" i="1"/>
  <c r="M541" i="1"/>
  <c r="C542" i="1"/>
  <c r="D542" i="1"/>
  <c r="M542" i="1"/>
  <c r="C543" i="1"/>
  <c r="D543" i="1"/>
  <c r="M543" i="1"/>
  <c r="C544" i="1"/>
  <c r="D544" i="1"/>
  <c r="M544" i="1"/>
  <c r="C545" i="1"/>
  <c r="D545" i="1"/>
  <c r="M545" i="1"/>
  <c r="C546" i="1"/>
  <c r="D546" i="1"/>
  <c r="M546" i="1"/>
  <c r="C547" i="1"/>
  <c r="D547" i="1"/>
  <c r="M547" i="1"/>
  <c r="C548" i="1"/>
  <c r="D548" i="1"/>
  <c r="M548" i="1"/>
  <c r="C549" i="1"/>
  <c r="D549" i="1"/>
  <c r="M549" i="1"/>
  <c r="C550" i="1"/>
  <c r="D550" i="1"/>
  <c r="M550" i="1"/>
  <c r="C551" i="1"/>
  <c r="D551" i="1"/>
  <c r="M551" i="1"/>
  <c r="C552" i="1"/>
  <c r="D552" i="1"/>
  <c r="M552" i="1"/>
  <c r="C553" i="1"/>
  <c r="D553" i="1"/>
  <c r="M553" i="1"/>
  <c r="C554" i="1"/>
  <c r="D554" i="1"/>
  <c r="M554" i="1"/>
  <c r="C555" i="1"/>
  <c r="D555" i="1"/>
  <c r="M555" i="1"/>
  <c r="C556" i="1"/>
  <c r="D556" i="1"/>
  <c r="M556" i="1"/>
  <c r="C557" i="1"/>
  <c r="D557" i="1"/>
  <c r="M557" i="1"/>
  <c r="C558" i="1"/>
  <c r="D558" i="1"/>
  <c r="M558" i="1"/>
  <c r="C559" i="1"/>
  <c r="D559" i="1"/>
  <c r="M559" i="1"/>
  <c r="C560" i="1"/>
  <c r="D560" i="1"/>
  <c r="M560" i="1"/>
  <c r="C561" i="1"/>
  <c r="D561" i="1"/>
  <c r="M561" i="1"/>
  <c r="C562" i="1"/>
  <c r="D562" i="1"/>
  <c r="M562" i="1"/>
  <c r="C563" i="1"/>
  <c r="D563" i="1"/>
  <c r="M563" i="1"/>
  <c r="C564" i="1"/>
  <c r="D564" i="1"/>
  <c r="M564" i="1"/>
  <c r="C565" i="1"/>
  <c r="D565" i="1"/>
  <c r="M565" i="1"/>
  <c r="C566" i="1"/>
  <c r="D566" i="1"/>
  <c r="M566" i="1"/>
  <c r="C567" i="1"/>
  <c r="D567" i="1"/>
  <c r="M567" i="1"/>
  <c r="C568" i="1"/>
  <c r="D568" i="1"/>
  <c r="M568" i="1"/>
  <c r="C569" i="1"/>
  <c r="D569" i="1"/>
  <c r="M569" i="1"/>
  <c r="C570" i="1"/>
  <c r="D570" i="1"/>
  <c r="M570" i="1"/>
  <c r="C571" i="1"/>
  <c r="D571" i="1"/>
  <c r="M571" i="1"/>
  <c r="C572" i="1"/>
  <c r="D572" i="1"/>
  <c r="M572" i="1"/>
  <c r="C573" i="1"/>
  <c r="D573" i="1"/>
  <c r="M573" i="1"/>
  <c r="C574" i="1"/>
  <c r="D574" i="1"/>
  <c r="M574" i="1"/>
  <c r="C575" i="1"/>
  <c r="D575" i="1"/>
  <c r="M575" i="1"/>
  <c r="C576" i="1"/>
  <c r="D576" i="1"/>
  <c r="M576" i="1"/>
  <c r="C577" i="1"/>
  <c r="D577" i="1"/>
  <c r="M577" i="1"/>
  <c r="C578" i="1"/>
  <c r="D578" i="1"/>
  <c r="M578" i="1"/>
  <c r="C579" i="1"/>
  <c r="D579" i="1"/>
  <c r="M579" i="1"/>
  <c r="C580" i="1"/>
  <c r="D580" i="1"/>
  <c r="M580" i="1"/>
  <c r="C581" i="1"/>
  <c r="D581" i="1"/>
  <c r="M581" i="1"/>
  <c r="C582" i="1"/>
  <c r="D582" i="1"/>
  <c r="M582" i="1"/>
  <c r="C583" i="1"/>
  <c r="D583" i="1"/>
  <c r="M583" i="1"/>
  <c r="C584" i="1"/>
  <c r="D584" i="1"/>
  <c r="M584" i="1"/>
  <c r="C585" i="1"/>
  <c r="D585" i="1"/>
  <c r="M585" i="1"/>
  <c r="C586" i="1"/>
  <c r="D586" i="1"/>
  <c r="M586" i="1"/>
  <c r="C587" i="1"/>
  <c r="D587" i="1"/>
  <c r="M587" i="1"/>
  <c r="C588" i="1"/>
  <c r="D588" i="1"/>
  <c r="M588" i="1"/>
  <c r="C589" i="1"/>
  <c r="D589" i="1"/>
  <c r="M589" i="1"/>
  <c r="C590" i="1"/>
  <c r="D590" i="1"/>
  <c r="M590" i="1"/>
  <c r="C591" i="1"/>
  <c r="D591" i="1"/>
  <c r="M591" i="1"/>
  <c r="C592" i="1"/>
  <c r="D592" i="1"/>
  <c r="M592" i="1"/>
  <c r="C593" i="1"/>
  <c r="D593" i="1"/>
  <c r="M593" i="1"/>
  <c r="C594" i="1"/>
  <c r="D594" i="1"/>
  <c r="M594" i="1"/>
  <c r="C595" i="1"/>
  <c r="D595" i="1"/>
  <c r="M595" i="1"/>
  <c r="C596" i="1"/>
  <c r="D596" i="1"/>
  <c r="M596" i="1"/>
  <c r="C597" i="1"/>
  <c r="D597" i="1"/>
  <c r="M597" i="1"/>
  <c r="C598" i="1"/>
  <c r="D598" i="1"/>
  <c r="M598" i="1"/>
  <c r="C599" i="1"/>
  <c r="D599" i="1"/>
  <c r="M599" i="1"/>
  <c r="C600" i="1"/>
  <c r="D600" i="1"/>
  <c r="M600" i="1"/>
  <c r="C601" i="1"/>
  <c r="D601" i="1"/>
  <c r="M601" i="1"/>
  <c r="C602" i="1"/>
  <c r="D602" i="1"/>
  <c r="M602" i="1"/>
  <c r="C603" i="1"/>
  <c r="D603" i="1"/>
  <c r="M603" i="1"/>
  <c r="C604" i="1"/>
  <c r="D604" i="1"/>
  <c r="M604" i="1"/>
  <c r="C605" i="1"/>
  <c r="D605" i="1"/>
  <c r="M605" i="1"/>
  <c r="C606" i="1"/>
  <c r="D606" i="1"/>
  <c r="M606" i="1"/>
  <c r="C607" i="1"/>
  <c r="D607" i="1"/>
  <c r="M607" i="1"/>
  <c r="C608" i="1"/>
  <c r="D608" i="1"/>
  <c r="M608" i="1"/>
  <c r="C609" i="1"/>
  <c r="D609" i="1"/>
  <c r="M609" i="1"/>
  <c r="C610" i="1"/>
  <c r="D610" i="1"/>
  <c r="M610" i="1"/>
  <c r="C611" i="1"/>
  <c r="D611" i="1"/>
  <c r="M611" i="1"/>
  <c r="C612" i="1"/>
  <c r="D612" i="1"/>
  <c r="M612" i="1"/>
  <c r="C613" i="1"/>
  <c r="D613" i="1"/>
  <c r="M613" i="1"/>
  <c r="C614" i="1"/>
  <c r="D614" i="1"/>
  <c r="M614" i="1"/>
  <c r="C615" i="1"/>
  <c r="D615" i="1"/>
  <c r="M615" i="1"/>
  <c r="C616" i="1"/>
  <c r="D616" i="1"/>
  <c r="M616" i="1"/>
  <c r="C617" i="1"/>
  <c r="D617" i="1"/>
  <c r="M617" i="1"/>
  <c r="C618" i="1"/>
  <c r="D618" i="1"/>
  <c r="M618" i="1"/>
  <c r="C619" i="1"/>
  <c r="D619" i="1"/>
  <c r="M619" i="1"/>
  <c r="C620" i="1"/>
  <c r="D620" i="1"/>
  <c r="M620" i="1"/>
  <c r="C621" i="1"/>
  <c r="D621" i="1"/>
  <c r="M621" i="1"/>
  <c r="C622" i="1"/>
  <c r="D622" i="1"/>
  <c r="M622" i="1"/>
  <c r="C623" i="1"/>
  <c r="D623" i="1"/>
  <c r="M623" i="1"/>
  <c r="C624" i="1"/>
  <c r="D624" i="1"/>
  <c r="M624" i="1"/>
  <c r="C625" i="1"/>
  <c r="D625" i="1"/>
  <c r="M625" i="1"/>
  <c r="C626" i="1"/>
  <c r="D626" i="1"/>
  <c r="M626" i="1"/>
  <c r="C627" i="1"/>
  <c r="D627" i="1"/>
  <c r="M627" i="1"/>
  <c r="C628" i="1"/>
  <c r="D628" i="1"/>
  <c r="M628" i="1"/>
  <c r="C629" i="1"/>
  <c r="D629" i="1"/>
  <c r="M629" i="1"/>
  <c r="C630" i="1"/>
  <c r="D630" i="1"/>
  <c r="M630" i="1"/>
  <c r="C631" i="1"/>
  <c r="D631" i="1"/>
  <c r="M631" i="1"/>
  <c r="C632" i="1"/>
  <c r="D632" i="1"/>
  <c r="M632" i="1"/>
  <c r="C633" i="1"/>
  <c r="D633" i="1"/>
  <c r="M633" i="1"/>
  <c r="C634" i="1"/>
  <c r="D634" i="1"/>
  <c r="M634" i="1"/>
  <c r="C635" i="1"/>
  <c r="D635" i="1"/>
  <c r="M635" i="1"/>
  <c r="C636" i="1"/>
  <c r="D636" i="1"/>
  <c r="M636" i="1"/>
  <c r="C637" i="1"/>
  <c r="D637" i="1"/>
  <c r="M637" i="1"/>
  <c r="C638" i="1"/>
  <c r="D638" i="1"/>
  <c r="M638" i="1"/>
  <c r="C639" i="1"/>
  <c r="D639" i="1"/>
  <c r="M639" i="1"/>
  <c r="C640" i="1"/>
  <c r="D640" i="1"/>
  <c r="M640" i="1"/>
  <c r="C641" i="1"/>
  <c r="D641" i="1"/>
  <c r="M641" i="1"/>
  <c r="C642" i="1"/>
  <c r="D642" i="1"/>
  <c r="M642" i="1"/>
  <c r="C643" i="1"/>
  <c r="D643" i="1"/>
  <c r="M643" i="1"/>
  <c r="C644" i="1"/>
  <c r="D644" i="1"/>
  <c r="M644" i="1"/>
  <c r="C645" i="1"/>
  <c r="D645" i="1"/>
  <c r="M645" i="1"/>
  <c r="C646" i="1"/>
  <c r="D646" i="1"/>
  <c r="M646" i="1"/>
  <c r="C647" i="1"/>
  <c r="D647" i="1"/>
  <c r="M647" i="1"/>
  <c r="C648" i="1"/>
  <c r="D648" i="1"/>
  <c r="M648" i="1"/>
  <c r="C649" i="1"/>
  <c r="D649" i="1"/>
  <c r="M649" i="1"/>
  <c r="C650" i="1"/>
  <c r="D650" i="1"/>
  <c r="M650" i="1"/>
  <c r="C651" i="1"/>
  <c r="D651" i="1"/>
  <c r="M651" i="1"/>
  <c r="C652" i="1"/>
  <c r="D652" i="1"/>
  <c r="M652" i="1"/>
  <c r="C653" i="1"/>
  <c r="D653" i="1"/>
  <c r="M653" i="1"/>
  <c r="C654" i="1"/>
  <c r="D654" i="1"/>
  <c r="M654" i="1"/>
  <c r="C655" i="1"/>
  <c r="D655" i="1"/>
  <c r="M655" i="1"/>
  <c r="C656" i="1"/>
  <c r="D656" i="1"/>
  <c r="M656" i="1"/>
  <c r="C657" i="1"/>
  <c r="D657" i="1"/>
  <c r="M657" i="1"/>
  <c r="C658" i="1"/>
  <c r="D658" i="1"/>
  <c r="M658" i="1"/>
  <c r="C659" i="1"/>
  <c r="D659" i="1"/>
  <c r="M659" i="1"/>
  <c r="C660" i="1"/>
  <c r="D660" i="1"/>
  <c r="M660" i="1"/>
  <c r="C661" i="1"/>
  <c r="D661" i="1"/>
  <c r="M661" i="1"/>
  <c r="C662" i="1"/>
  <c r="D662" i="1"/>
  <c r="M662" i="1"/>
  <c r="C663" i="1"/>
  <c r="D663" i="1"/>
  <c r="M663" i="1"/>
  <c r="C664" i="1"/>
  <c r="D664" i="1"/>
  <c r="M664" i="1"/>
  <c r="C665" i="1"/>
  <c r="D665" i="1"/>
  <c r="M665" i="1"/>
  <c r="C666" i="1"/>
  <c r="D666" i="1"/>
  <c r="M666" i="1"/>
  <c r="C667" i="1"/>
  <c r="D667" i="1"/>
  <c r="M667" i="1"/>
  <c r="C668" i="1"/>
  <c r="D668" i="1"/>
  <c r="M668" i="1"/>
  <c r="C669" i="1"/>
  <c r="D669" i="1"/>
  <c r="M669" i="1"/>
  <c r="C670" i="1"/>
  <c r="D670" i="1"/>
  <c r="M670" i="1"/>
  <c r="C671" i="1"/>
  <c r="D671" i="1"/>
  <c r="M671" i="1"/>
  <c r="C672" i="1"/>
  <c r="D672" i="1"/>
  <c r="M672" i="1"/>
  <c r="C673" i="1"/>
  <c r="D673" i="1"/>
  <c r="M673" i="1"/>
  <c r="C674" i="1"/>
  <c r="D674" i="1"/>
  <c r="M674" i="1"/>
  <c r="C675" i="1"/>
  <c r="D675" i="1"/>
  <c r="M675" i="1"/>
  <c r="C676" i="1"/>
  <c r="D676" i="1"/>
  <c r="M676" i="1"/>
  <c r="C677" i="1"/>
  <c r="D677" i="1"/>
  <c r="M677" i="1"/>
  <c r="C678" i="1"/>
  <c r="D678" i="1"/>
  <c r="M678" i="1"/>
  <c r="C679" i="1"/>
  <c r="D679" i="1"/>
  <c r="M679" i="1"/>
  <c r="C680" i="1"/>
  <c r="D680" i="1"/>
  <c r="M680" i="1"/>
  <c r="C681" i="1"/>
  <c r="D681" i="1"/>
  <c r="M681" i="1"/>
  <c r="C682" i="1"/>
  <c r="D682" i="1"/>
  <c r="M682" i="1"/>
  <c r="C683" i="1"/>
  <c r="D683" i="1"/>
  <c r="M683" i="1"/>
  <c r="C684" i="1"/>
  <c r="D684" i="1"/>
  <c r="M684" i="1"/>
  <c r="C685" i="1"/>
  <c r="D685" i="1"/>
  <c r="M685" i="1"/>
  <c r="C686" i="1"/>
  <c r="D686" i="1"/>
  <c r="M686" i="1"/>
  <c r="C687" i="1"/>
  <c r="D687" i="1"/>
  <c r="M687" i="1"/>
  <c r="C688" i="1"/>
  <c r="D688" i="1"/>
  <c r="M688" i="1"/>
  <c r="C689" i="1"/>
  <c r="D689" i="1"/>
  <c r="M689" i="1"/>
  <c r="C690" i="1"/>
  <c r="D690" i="1"/>
  <c r="M690" i="1"/>
  <c r="C691" i="1"/>
  <c r="D691" i="1"/>
  <c r="M691" i="1"/>
  <c r="C692" i="1"/>
  <c r="D692" i="1"/>
  <c r="M692" i="1"/>
  <c r="C693" i="1"/>
  <c r="D693" i="1"/>
  <c r="M693" i="1"/>
  <c r="C694" i="1"/>
  <c r="D694" i="1"/>
  <c r="M694" i="1"/>
  <c r="C695" i="1"/>
  <c r="D695" i="1"/>
  <c r="M695" i="1"/>
  <c r="C696" i="1"/>
  <c r="D696" i="1"/>
  <c r="M696" i="1"/>
  <c r="C697" i="1"/>
  <c r="D697" i="1"/>
  <c r="M697" i="1"/>
  <c r="C698" i="1"/>
  <c r="D698" i="1"/>
  <c r="M698" i="1"/>
  <c r="C699" i="1"/>
  <c r="D699" i="1"/>
  <c r="M699" i="1"/>
  <c r="C700" i="1"/>
  <c r="D700" i="1"/>
  <c r="M700" i="1"/>
  <c r="C701" i="1"/>
  <c r="D701" i="1"/>
  <c r="M701" i="1"/>
  <c r="C702" i="1"/>
  <c r="D702" i="1"/>
  <c r="M702" i="1"/>
  <c r="C703" i="1"/>
  <c r="D703" i="1"/>
  <c r="M703" i="1"/>
  <c r="C704" i="1"/>
  <c r="D704" i="1"/>
  <c r="M704" i="1"/>
  <c r="C705" i="1"/>
  <c r="D705" i="1"/>
  <c r="M705" i="1"/>
  <c r="C706" i="1"/>
  <c r="D706" i="1"/>
  <c r="M706" i="1"/>
  <c r="C707" i="1"/>
  <c r="D707" i="1"/>
  <c r="M707" i="1"/>
  <c r="C708" i="1"/>
  <c r="D708" i="1"/>
  <c r="M708" i="1"/>
  <c r="C709" i="1"/>
  <c r="D709" i="1"/>
  <c r="M709" i="1"/>
  <c r="C710" i="1"/>
  <c r="D710" i="1"/>
  <c r="M710" i="1"/>
  <c r="C711" i="1"/>
  <c r="D711" i="1"/>
  <c r="M711" i="1"/>
  <c r="C712" i="1"/>
  <c r="D712" i="1"/>
  <c r="M712" i="1"/>
  <c r="C713" i="1"/>
  <c r="D713" i="1"/>
  <c r="M713" i="1"/>
  <c r="C714" i="1"/>
  <c r="D714" i="1"/>
  <c r="M714" i="1"/>
  <c r="C715" i="1"/>
  <c r="D715" i="1"/>
  <c r="M715" i="1"/>
  <c r="C716" i="1"/>
  <c r="D716" i="1"/>
  <c r="M716" i="1"/>
  <c r="C717" i="1"/>
  <c r="D717" i="1"/>
  <c r="M717" i="1"/>
  <c r="C718" i="1"/>
  <c r="D718" i="1"/>
  <c r="M718" i="1"/>
  <c r="C719" i="1"/>
  <c r="D719" i="1"/>
  <c r="M719" i="1"/>
  <c r="C720" i="1"/>
  <c r="D720" i="1"/>
  <c r="M720" i="1"/>
  <c r="C721" i="1"/>
  <c r="D721" i="1"/>
  <c r="M721" i="1"/>
  <c r="C722" i="1"/>
  <c r="D722" i="1"/>
  <c r="M722" i="1"/>
  <c r="C723" i="1"/>
  <c r="D723" i="1"/>
  <c r="M723" i="1"/>
  <c r="C724" i="1"/>
  <c r="D724" i="1"/>
  <c r="M724" i="1"/>
  <c r="C725" i="1"/>
  <c r="D725" i="1"/>
  <c r="M725" i="1"/>
  <c r="C726" i="1"/>
  <c r="D726" i="1"/>
  <c r="M726" i="1"/>
  <c r="C727" i="1"/>
  <c r="D727" i="1"/>
  <c r="M727" i="1"/>
  <c r="C728" i="1"/>
  <c r="D728" i="1"/>
  <c r="M728" i="1"/>
  <c r="C729" i="1"/>
  <c r="D729" i="1"/>
  <c r="M729" i="1"/>
  <c r="C730" i="1"/>
  <c r="D730" i="1"/>
  <c r="M730" i="1"/>
  <c r="C731" i="1"/>
  <c r="D731" i="1"/>
  <c r="M731" i="1"/>
  <c r="C732" i="1"/>
  <c r="D732" i="1"/>
  <c r="M732" i="1"/>
  <c r="C733" i="1"/>
  <c r="D733" i="1"/>
  <c r="M733" i="1"/>
  <c r="C734" i="1"/>
  <c r="D734" i="1"/>
  <c r="M734" i="1"/>
  <c r="C735" i="1"/>
  <c r="D735" i="1"/>
  <c r="M735" i="1"/>
  <c r="C736" i="1"/>
  <c r="D736" i="1"/>
  <c r="M736" i="1"/>
  <c r="C737" i="1"/>
  <c r="D737" i="1"/>
  <c r="M737" i="1"/>
  <c r="C738" i="1"/>
  <c r="D738" i="1"/>
  <c r="M738" i="1"/>
  <c r="C739" i="1"/>
  <c r="D739" i="1"/>
  <c r="M739" i="1"/>
  <c r="C740" i="1"/>
  <c r="D740" i="1"/>
  <c r="M740" i="1"/>
  <c r="C741" i="1"/>
  <c r="D741" i="1"/>
  <c r="M741" i="1"/>
  <c r="C742" i="1"/>
  <c r="D742" i="1"/>
  <c r="M742" i="1"/>
  <c r="C743" i="1"/>
  <c r="D743" i="1"/>
  <c r="M743" i="1"/>
  <c r="C744" i="1"/>
  <c r="D744" i="1"/>
  <c r="M744" i="1"/>
  <c r="C745" i="1"/>
  <c r="D745" i="1"/>
  <c r="M745" i="1"/>
  <c r="C746" i="1"/>
  <c r="D746" i="1"/>
  <c r="M746" i="1"/>
  <c r="C747" i="1"/>
  <c r="D747" i="1"/>
  <c r="M747" i="1"/>
  <c r="C748" i="1"/>
  <c r="D748" i="1"/>
  <c r="M748" i="1"/>
  <c r="C749" i="1"/>
  <c r="D749" i="1"/>
  <c r="M749" i="1"/>
  <c r="C750" i="1"/>
  <c r="D750" i="1"/>
  <c r="M750" i="1"/>
  <c r="C751" i="1"/>
  <c r="D751" i="1"/>
  <c r="M751" i="1"/>
  <c r="C752" i="1"/>
  <c r="D752" i="1"/>
  <c r="M752" i="1"/>
  <c r="C753" i="1"/>
  <c r="D753" i="1"/>
  <c r="M753" i="1"/>
  <c r="C754" i="1"/>
  <c r="D754" i="1"/>
  <c r="M754" i="1"/>
  <c r="C755" i="1"/>
  <c r="D755" i="1"/>
  <c r="M755" i="1"/>
  <c r="C756" i="1"/>
  <c r="D756" i="1"/>
  <c r="M756" i="1"/>
  <c r="C757" i="1"/>
  <c r="D757" i="1"/>
  <c r="M757" i="1"/>
  <c r="C758" i="1"/>
  <c r="D758" i="1"/>
  <c r="M758" i="1"/>
  <c r="C759" i="1"/>
  <c r="D759" i="1"/>
  <c r="M759" i="1"/>
  <c r="C760" i="1"/>
  <c r="D760" i="1"/>
  <c r="M760" i="1"/>
  <c r="C761" i="1"/>
  <c r="D761" i="1"/>
  <c r="M761" i="1"/>
  <c r="C762" i="1"/>
  <c r="D762" i="1"/>
  <c r="M762" i="1"/>
  <c r="C763" i="1"/>
  <c r="D763" i="1"/>
  <c r="M763" i="1"/>
  <c r="C764" i="1"/>
  <c r="D764" i="1"/>
  <c r="M764" i="1"/>
  <c r="C765" i="1"/>
  <c r="D765" i="1"/>
  <c r="M765" i="1"/>
  <c r="C766" i="1"/>
  <c r="D766" i="1"/>
  <c r="M766" i="1"/>
  <c r="C767" i="1"/>
  <c r="D767" i="1"/>
  <c r="M767" i="1"/>
  <c r="C768" i="1"/>
  <c r="D768" i="1"/>
  <c r="M768" i="1"/>
  <c r="C769" i="1"/>
  <c r="D769" i="1"/>
  <c r="M769" i="1"/>
  <c r="C770" i="1"/>
  <c r="D770" i="1"/>
  <c r="M770" i="1"/>
  <c r="C771" i="1"/>
  <c r="D771" i="1"/>
  <c r="M771" i="1"/>
  <c r="C772" i="1"/>
  <c r="D772" i="1"/>
  <c r="M772" i="1"/>
  <c r="C773" i="1"/>
  <c r="D773" i="1"/>
  <c r="M773" i="1"/>
  <c r="C774" i="1"/>
  <c r="D774" i="1"/>
  <c r="M774" i="1"/>
  <c r="C775" i="1"/>
  <c r="D775" i="1"/>
  <c r="M775" i="1"/>
  <c r="C776" i="1"/>
  <c r="D776" i="1"/>
  <c r="M776" i="1"/>
  <c r="C777" i="1"/>
  <c r="D777" i="1"/>
  <c r="M777" i="1"/>
  <c r="C778" i="1"/>
  <c r="D778" i="1"/>
  <c r="M778" i="1"/>
  <c r="C779" i="1"/>
  <c r="D779" i="1"/>
  <c r="M779" i="1"/>
  <c r="C780" i="1"/>
  <c r="D780" i="1"/>
  <c r="M780" i="1"/>
  <c r="C781" i="1"/>
  <c r="D781" i="1"/>
  <c r="M781" i="1"/>
  <c r="C782" i="1"/>
  <c r="D782" i="1"/>
  <c r="M782" i="1"/>
  <c r="C783" i="1"/>
  <c r="D783" i="1"/>
  <c r="M783" i="1"/>
  <c r="C784" i="1"/>
  <c r="D784" i="1"/>
  <c r="M784" i="1"/>
  <c r="C785" i="1"/>
  <c r="D785" i="1"/>
  <c r="M785" i="1"/>
  <c r="C786" i="1"/>
  <c r="D786" i="1"/>
  <c r="M786" i="1"/>
  <c r="C787" i="1"/>
  <c r="D787" i="1"/>
  <c r="M787" i="1"/>
  <c r="C788" i="1"/>
  <c r="D788" i="1"/>
  <c r="M788" i="1"/>
  <c r="C789" i="1"/>
  <c r="D789" i="1"/>
  <c r="M789" i="1"/>
  <c r="C790" i="1"/>
  <c r="D790" i="1"/>
  <c r="M790" i="1"/>
  <c r="C791" i="1"/>
  <c r="D791" i="1"/>
  <c r="M791" i="1"/>
  <c r="C792" i="1"/>
  <c r="D792" i="1"/>
  <c r="M792" i="1"/>
  <c r="C793" i="1"/>
  <c r="D793" i="1"/>
  <c r="M793" i="1"/>
  <c r="C794" i="1"/>
  <c r="D794" i="1"/>
  <c r="M794" i="1"/>
  <c r="C795" i="1"/>
  <c r="D795" i="1"/>
  <c r="M795" i="1"/>
  <c r="C796" i="1"/>
  <c r="D796" i="1"/>
  <c r="M796" i="1"/>
  <c r="C797" i="1"/>
  <c r="D797" i="1"/>
  <c r="M797" i="1"/>
  <c r="C798" i="1"/>
  <c r="D798" i="1"/>
  <c r="M798" i="1"/>
  <c r="C799" i="1"/>
  <c r="D799" i="1"/>
  <c r="M799" i="1"/>
  <c r="C800" i="1"/>
  <c r="D800" i="1"/>
  <c r="M800" i="1"/>
  <c r="C801" i="1"/>
  <c r="D801" i="1"/>
  <c r="M801" i="1"/>
  <c r="C802" i="1"/>
  <c r="D802" i="1"/>
  <c r="M802" i="1"/>
  <c r="C803" i="1"/>
  <c r="D803" i="1"/>
  <c r="M803" i="1"/>
  <c r="C804" i="1"/>
  <c r="D804" i="1"/>
  <c r="M804" i="1"/>
  <c r="C805" i="1"/>
  <c r="D805" i="1"/>
  <c r="M805" i="1"/>
  <c r="C806" i="1"/>
  <c r="D806" i="1"/>
  <c r="M806" i="1"/>
  <c r="C807" i="1"/>
  <c r="D807" i="1"/>
  <c r="M807" i="1"/>
  <c r="C808" i="1"/>
  <c r="D808" i="1"/>
  <c r="M808" i="1"/>
  <c r="C809" i="1"/>
  <c r="D809" i="1"/>
  <c r="M809" i="1"/>
  <c r="C810" i="1"/>
  <c r="D810" i="1"/>
  <c r="M810" i="1"/>
  <c r="C811" i="1"/>
  <c r="D811" i="1"/>
  <c r="M811" i="1"/>
  <c r="C812" i="1"/>
  <c r="D812" i="1"/>
  <c r="M812" i="1"/>
  <c r="C813" i="1"/>
  <c r="D813" i="1"/>
  <c r="M813" i="1"/>
  <c r="C814" i="1"/>
  <c r="D814" i="1"/>
  <c r="M814" i="1"/>
  <c r="C815" i="1"/>
  <c r="D815" i="1"/>
  <c r="M815" i="1"/>
  <c r="C816" i="1"/>
  <c r="D816" i="1"/>
  <c r="M816" i="1"/>
  <c r="C817" i="1"/>
  <c r="D817" i="1"/>
  <c r="M817" i="1"/>
  <c r="C818" i="1"/>
  <c r="D818" i="1"/>
  <c r="M818" i="1"/>
  <c r="C819" i="1"/>
  <c r="D819" i="1"/>
  <c r="M819" i="1"/>
  <c r="C820" i="1"/>
  <c r="D820" i="1"/>
  <c r="M820" i="1"/>
  <c r="C821" i="1"/>
  <c r="D821" i="1"/>
  <c r="M821" i="1"/>
  <c r="C822" i="1"/>
  <c r="D822" i="1"/>
  <c r="M822" i="1"/>
  <c r="C823" i="1"/>
  <c r="D823" i="1"/>
  <c r="M823" i="1"/>
  <c r="C824" i="1"/>
  <c r="D824" i="1"/>
  <c r="M824" i="1"/>
  <c r="C825" i="1"/>
  <c r="D825" i="1"/>
  <c r="M825" i="1"/>
  <c r="C826" i="1"/>
  <c r="D826" i="1"/>
  <c r="M826" i="1"/>
  <c r="C827" i="1"/>
  <c r="D827" i="1"/>
  <c r="M827" i="1"/>
  <c r="C828" i="1"/>
  <c r="D828" i="1"/>
  <c r="M828" i="1"/>
  <c r="C829" i="1"/>
  <c r="D829" i="1"/>
  <c r="M829" i="1"/>
  <c r="C830" i="1"/>
  <c r="D830" i="1"/>
  <c r="M830" i="1"/>
  <c r="C831" i="1"/>
  <c r="D831" i="1"/>
  <c r="M831" i="1"/>
  <c r="C832" i="1"/>
  <c r="D832" i="1"/>
  <c r="M832" i="1"/>
  <c r="C833" i="1"/>
  <c r="D833" i="1"/>
  <c r="M833" i="1"/>
  <c r="C834" i="1"/>
  <c r="D834" i="1"/>
  <c r="M834" i="1"/>
  <c r="C835" i="1"/>
  <c r="D835" i="1"/>
  <c r="M835" i="1"/>
  <c r="C836" i="1"/>
  <c r="D836" i="1"/>
  <c r="M836" i="1"/>
  <c r="C837" i="1"/>
  <c r="D837" i="1"/>
  <c r="M837" i="1"/>
  <c r="C838" i="1"/>
  <c r="D838" i="1"/>
  <c r="M838" i="1"/>
  <c r="C839" i="1"/>
  <c r="D839" i="1"/>
  <c r="M839" i="1"/>
  <c r="C840" i="1"/>
  <c r="D840" i="1"/>
  <c r="M840" i="1"/>
  <c r="C841" i="1"/>
  <c r="D841" i="1"/>
  <c r="M841" i="1"/>
  <c r="C842" i="1"/>
  <c r="D842" i="1"/>
  <c r="M842" i="1"/>
  <c r="C843" i="1"/>
  <c r="D843" i="1"/>
  <c r="M843" i="1"/>
  <c r="C844" i="1"/>
  <c r="D844" i="1"/>
  <c r="M844" i="1"/>
  <c r="C845" i="1"/>
  <c r="D845" i="1"/>
  <c r="M845" i="1"/>
  <c r="C846" i="1"/>
  <c r="D846" i="1"/>
  <c r="M846" i="1"/>
  <c r="C847" i="1"/>
  <c r="D847" i="1"/>
  <c r="M847" i="1"/>
  <c r="C848" i="1"/>
  <c r="D848" i="1"/>
  <c r="M848" i="1"/>
  <c r="C849" i="1"/>
  <c r="D849" i="1"/>
  <c r="M849" i="1"/>
  <c r="C850" i="1"/>
  <c r="D850" i="1"/>
  <c r="M850" i="1"/>
  <c r="C851" i="1"/>
  <c r="D851" i="1"/>
  <c r="M851" i="1"/>
  <c r="C852" i="1"/>
  <c r="D852" i="1"/>
  <c r="M852" i="1"/>
  <c r="C853" i="1"/>
  <c r="D853" i="1"/>
  <c r="M853" i="1"/>
  <c r="C854" i="1"/>
  <c r="D854" i="1"/>
  <c r="M854" i="1"/>
  <c r="C855" i="1"/>
  <c r="D855" i="1"/>
  <c r="M855" i="1"/>
  <c r="C856" i="1"/>
  <c r="D856" i="1"/>
  <c r="M856" i="1"/>
  <c r="C857" i="1"/>
  <c r="D857" i="1"/>
  <c r="M857" i="1"/>
  <c r="C858" i="1"/>
  <c r="D858" i="1"/>
  <c r="M858" i="1"/>
  <c r="C859" i="1"/>
  <c r="D859" i="1"/>
  <c r="M859" i="1"/>
  <c r="C860" i="1"/>
  <c r="D860" i="1"/>
  <c r="M860" i="1"/>
  <c r="C861" i="1"/>
  <c r="D861" i="1"/>
  <c r="M861" i="1"/>
  <c r="C862" i="1"/>
  <c r="D862" i="1"/>
  <c r="M862" i="1"/>
  <c r="C863" i="1"/>
  <c r="D863" i="1"/>
  <c r="M863" i="1"/>
  <c r="C864" i="1"/>
  <c r="D864" i="1"/>
  <c r="M864" i="1"/>
  <c r="C865" i="1"/>
  <c r="D865" i="1"/>
  <c r="M865" i="1"/>
  <c r="C866" i="1"/>
  <c r="D866" i="1"/>
  <c r="M866" i="1"/>
  <c r="C867" i="1"/>
  <c r="D867" i="1"/>
  <c r="M867" i="1"/>
  <c r="C868" i="1"/>
  <c r="D868" i="1"/>
  <c r="M868" i="1"/>
  <c r="C869" i="1"/>
  <c r="D869" i="1"/>
  <c r="M869" i="1"/>
  <c r="C870" i="1"/>
  <c r="D870" i="1"/>
  <c r="M870" i="1"/>
  <c r="C871" i="1"/>
  <c r="D871" i="1"/>
  <c r="M871" i="1"/>
  <c r="C872" i="1"/>
  <c r="D872" i="1"/>
  <c r="M872" i="1"/>
  <c r="C873" i="1"/>
  <c r="D873" i="1"/>
  <c r="M873" i="1"/>
  <c r="C874" i="1"/>
  <c r="D874" i="1"/>
  <c r="M874" i="1"/>
  <c r="C875" i="1"/>
  <c r="D875" i="1"/>
  <c r="M875" i="1"/>
  <c r="C876" i="1"/>
  <c r="D876" i="1"/>
  <c r="M876" i="1"/>
  <c r="C877" i="1"/>
  <c r="D877" i="1"/>
  <c r="M877" i="1"/>
  <c r="C878" i="1"/>
  <c r="D878" i="1"/>
  <c r="M878" i="1"/>
  <c r="C879" i="1"/>
  <c r="D879" i="1"/>
  <c r="M879" i="1"/>
  <c r="C880" i="1"/>
  <c r="D880" i="1"/>
  <c r="M880" i="1"/>
  <c r="C881" i="1"/>
  <c r="D881" i="1"/>
  <c r="M881" i="1"/>
  <c r="C882" i="1"/>
  <c r="D882" i="1"/>
  <c r="M882" i="1"/>
  <c r="C883" i="1"/>
  <c r="D883" i="1"/>
  <c r="M883" i="1"/>
  <c r="C884" i="1"/>
  <c r="D884" i="1"/>
  <c r="M884" i="1"/>
  <c r="C885" i="1"/>
  <c r="D885" i="1"/>
  <c r="M885" i="1"/>
  <c r="C886" i="1"/>
  <c r="D886" i="1"/>
  <c r="M886" i="1"/>
  <c r="C887" i="1"/>
  <c r="D887" i="1"/>
  <c r="M887" i="1"/>
  <c r="C888" i="1"/>
  <c r="D888" i="1"/>
  <c r="M888" i="1"/>
  <c r="C889" i="1"/>
  <c r="D889" i="1"/>
  <c r="M889" i="1"/>
  <c r="C890" i="1"/>
  <c r="D890" i="1"/>
  <c r="M890" i="1"/>
  <c r="C891" i="1"/>
  <c r="D891" i="1"/>
  <c r="M891" i="1"/>
  <c r="C892" i="1"/>
  <c r="D892" i="1"/>
  <c r="M892" i="1"/>
  <c r="C893" i="1"/>
  <c r="D893" i="1"/>
  <c r="M893" i="1"/>
  <c r="C894" i="1"/>
  <c r="D894" i="1"/>
  <c r="M894" i="1"/>
  <c r="C895" i="1"/>
  <c r="D895" i="1"/>
  <c r="M895" i="1"/>
  <c r="C896" i="1"/>
  <c r="D896" i="1"/>
  <c r="M896" i="1"/>
  <c r="C897" i="1"/>
  <c r="D897" i="1"/>
  <c r="M897" i="1"/>
  <c r="C898" i="1"/>
  <c r="D898" i="1"/>
  <c r="M898" i="1"/>
  <c r="C899" i="1"/>
  <c r="D899" i="1"/>
  <c r="M899" i="1"/>
  <c r="C900" i="1"/>
  <c r="D900" i="1"/>
  <c r="M900" i="1"/>
  <c r="C901" i="1"/>
  <c r="D901" i="1"/>
  <c r="M901" i="1"/>
  <c r="C902" i="1"/>
  <c r="D902" i="1"/>
  <c r="M902" i="1"/>
  <c r="C903" i="1"/>
  <c r="D903" i="1"/>
  <c r="M903" i="1"/>
  <c r="C904" i="1"/>
  <c r="D904" i="1"/>
  <c r="M904" i="1"/>
  <c r="C905" i="1"/>
  <c r="D905" i="1"/>
  <c r="M905" i="1"/>
  <c r="C906" i="1"/>
  <c r="D906" i="1"/>
  <c r="M906" i="1"/>
  <c r="C907" i="1"/>
  <c r="D907" i="1"/>
  <c r="M907" i="1"/>
  <c r="C908" i="1"/>
  <c r="D908" i="1"/>
  <c r="M908" i="1"/>
  <c r="C909" i="1"/>
  <c r="D909" i="1"/>
  <c r="M909" i="1"/>
  <c r="C910" i="1"/>
  <c r="D910" i="1"/>
  <c r="M910" i="1"/>
  <c r="C911" i="1"/>
  <c r="D911" i="1"/>
  <c r="M911" i="1"/>
  <c r="C912" i="1"/>
  <c r="D912" i="1"/>
  <c r="M912" i="1"/>
  <c r="C913" i="1"/>
  <c r="D913" i="1"/>
  <c r="M913" i="1"/>
  <c r="C914" i="1"/>
  <c r="D914" i="1"/>
  <c r="M914" i="1"/>
  <c r="C915" i="1"/>
  <c r="D915" i="1"/>
  <c r="M915" i="1"/>
  <c r="C916" i="1"/>
  <c r="D916" i="1"/>
  <c r="M916" i="1"/>
  <c r="C917" i="1"/>
  <c r="D917" i="1"/>
  <c r="M917" i="1"/>
  <c r="C918" i="1"/>
  <c r="D918" i="1"/>
  <c r="M918" i="1"/>
  <c r="C919" i="1"/>
  <c r="D919" i="1"/>
  <c r="M919" i="1"/>
  <c r="C920" i="1"/>
  <c r="D920" i="1"/>
  <c r="M920" i="1"/>
  <c r="C921" i="1"/>
  <c r="D921" i="1"/>
  <c r="M921" i="1"/>
  <c r="C922" i="1"/>
  <c r="D922" i="1"/>
  <c r="M922" i="1"/>
  <c r="C923" i="1"/>
  <c r="D923" i="1"/>
  <c r="M923" i="1"/>
  <c r="C924" i="1"/>
  <c r="D924" i="1"/>
  <c r="M924" i="1"/>
  <c r="C925" i="1"/>
  <c r="D925" i="1"/>
  <c r="M925" i="1"/>
  <c r="C926" i="1"/>
  <c r="D926" i="1"/>
  <c r="M926" i="1"/>
  <c r="C927" i="1"/>
  <c r="D927" i="1"/>
  <c r="M927" i="1"/>
  <c r="C928" i="1"/>
  <c r="D928" i="1"/>
  <c r="M928" i="1"/>
  <c r="C929" i="1"/>
  <c r="D929" i="1"/>
  <c r="M929" i="1"/>
  <c r="C930" i="1"/>
  <c r="D930" i="1"/>
  <c r="M930" i="1"/>
  <c r="C931" i="1"/>
  <c r="D931" i="1"/>
  <c r="M931" i="1"/>
  <c r="C932" i="1"/>
  <c r="D932" i="1"/>
  <c r="M932" i="1"/>
  <c r="C933" i="1"/>
  <c r="D933" i="1"/>
  <c r="M933" i="1"/>
  <c r="C934" i="1"/>
  <c r="D934" i="1"/>
  <c r="M934" i="1"/>
  <c r="C935" i="1"/>
  <c r="D935" i="1"/>
  <c r="M935" i="1"/>
  <c r="C936" i="1"/>
  <c r="D936" i="1"/>
  <c r="M936" i="1"/>
  <c r="C937" i="1"/>
  <c r="D937" i="1"/>
  <c r="M937" i="1"/>
  <c r="C938" i="1"/>
  <c r="D938" i="1"/>
  <c r="M938" i="1"/>
  <c r="C939" i="1"/>
  <c r="D939" i="1"/>
  <c r="M939" i="1"/>
  <c r="C940" i="1"/>
  <c r="D940" i="1"/>
  <c r="M940" i="1"/>
  <c r="C941" i="1"/>
  <c r="D941" i="1"/>
  <c r="M941" i="1"/>
  <c r="C942" i="1"/>
  <c r="D942" i="1"/>
  <c r="M942" i="1"/>
  <c r="C943" i="1"/>
  <c r="D943" i="1"/>
  <c r="M943" i="1"/>
  <c r="C944" i="1"/>
  <c r="D944" i="1"/>
  <c r="M944" i="1"/>
  <c r="C945" i="1"/>
  <c r="D945" i="1"/>
  <c r="M945" i="1"/>
  <c r="C946" i="1"/>
  <c r="D946" i="1"/>
  <c r="M946" i="1"/>
  <c r="C947" i="1"/>
  <c r="D947" i="1"/>
  <c r="M947" i="1"/>
  <c r="C948" i="1"/>
  <c r="D948" i="1"/>
  <c r="M948" i="1"/>
  <c r="C949" i="1"/>
  <c r="D949" i="1"/>
  <c r="M949" i="1"/>
  <c r="C950" i="1"/>
  <c r="D950" i="1"/>
  <c r="M950" i="1"/>
  <c r="C951" i="1"/>
  <c r="D951" i="1"/>
  <c r="M951" i="1"/>
  <c r="C952" i="1"/>
  <c r="D952" i="1"/>
  <c r="M952" i="1"/>
  <c r="C953" i="1"/>
  <c r="D953" i="1"/>
  <c r="M953" i="1"/>
  <c r="C954" i="1"/>
  <c r="D954" i="1"/>
  <c r="M954" i="1"/>
  <c r="C955" i="1"/>
  <c r="D955" i="1"/>
  <c r="M955" i="1"/>
  <c r="C956" i="1"/>
  <c r="D956" i="1"/>
  <c r="M956" i="1"/>
  <c r="C957" i="1"/>
  <c r="D957" i="1"/>
  <c r="M957" i="1"/>
  <c r="C958" i="1"/>
  <c r="D958" i="1"/>
  <c r="M958" i="1"/>
  <c r="C959" i="1"/>
  <c r="D959" i="1"/>
  <c r="M959" i="1"/>
  <c r="C960" i="1"/>
  <c r="D960" i="1"/>
  <c r="M960" i="1"/>
  <c r="C961" i="1"/>
  <c r="D961" i="1"/>
  <c r="M961" i="1"/>
  <c r="C962" i="1"/>
  <c r="D962" i="1"/>
  <c r="M962" i="1"/>
  <c r="C963" i="1"/>
  <c r="D963" i="1"/>
  <c r="M963" i="1"/>
  <c r="C964" i="1"/>
  <c r="D964" i="1"/>
  <c r="M964" i="1"/>
  <c r="C965" i="1"/>
  <c r="D965" i="1"/>
  <c r="M965" i="1"/>
  <c r="C966" i="1"/>
  <c r="D966" i="1"/>
  <c r="M966" i="1"/>
  <c r="C967" i="1"/>
  <c r="D967" i="1"/>
  <c r="M967" i="1"/>
  <c r="C968" i="1"/>
  <c r="D968" i="1"/>
  <c r="M968" i="1"/>
  <c r="C969" i="1"/>
  <c r="D969" i="1"/>
  <c r="M969" i="1"/>
  <c r="C970" i="1"/>
  <c r="D970" i="1"/>
  <c r="M970" i="1"/>
  <c r="C971" i="1"/>
  <c r="D971" i="1"/>
  <c r="M971" i="1"/>
  <c r="C972" i="1"/>
  <c r="D972" i="1"/>
  <c r="M972" i="1"/>
  <c r="C973" i="1"/>
  <c r="D973" i="1"/>
  <c r="M973" i="1"/>
  <c r="C974" i="1"/>
  <c r="D974" i="1"/>
  <c r="M974" i="1"/>
  <c r="C975" i="1"/>
  <c r="D975" i="1"/>
  <c r="M975" i="1"/>
  <c r="C976" i="1"/>
  <c r="D976" i="1"/>
  <c r="M976" i="1"/>
  <c r="C977" i="1"/>
  <c r="D977" i="1"/>
  <c r="M977" i="1"/>
  <c r="C978" i="1"/>
  <c r="D978" i="1"/>
  <c r="M978" i="1"/>
  <c r="C979" i="1"/>
  <c r="D979" i="1"/>
  <c r="M979" i="1"/>
  <c r="C980" i="1"/>
  <c r="D980" i="1"/>
  <c r="M980" i="1"/>
  <c r="C981" i="1"/>
  <c r="D981" i="1"/>
  <c r="M981" i="1"/>
  <c r="C982" i="1"/>
  <c r="D982" i="1"/>
  <c r="M982" i="1"/>
  <c r="C983" i="1"/>
  <c r="D983" i="1"/>
  <c r="M983" i="1"/>
  <c r="C984" i="1"/>
  <c r="D984" i="1"/>
  <c r="M984" i="1"/>
  <c r="C985" i="1"/>
  <c r="D985" i="1"/>
  <c r="M985" i="1"/>
  <c r="C986" i="1"/>
  <c r="D986" i="1"/>
  <c r="M986" i="1"/>
  <c r="C987" i="1"/>
  <c r="D987" i="1"/>
  <c r="M987" i="1"/>
  <c r="C988" i="1"/>
  <c r="D988" i="1"/>
  <c r="M988" i="1"/>
  <c r="C989" i="1"/>
  <c r="D989" i="1"/>
  <c r="M989" i="1"/>
  <c r="C990" i="1"/>
  <c r="D990" i="1"/>
  <c r="M990" i="1"/>
  <c r="C991" i="1"/>
  <c r="D991" i="1"/>
  <c r="M991" i="1"/>
  <c r="C992" i="1"/>
  <c r="D992" i="1"/>
  <c r="M992" i="1"/>
  <c r="C993" i="1"/>
  <c r="D993" i="1"/>
  <c r="M993" i="1"/>
  <c r="C994" i="1"/>
  <c r="D994" i="1"/>
  <c r="M994" i="1"/>
  <c r="C995" i="1"/>
  <c r="D995" i="1"/>
  <c r="M995" i="1"/>
  <c r="C996" i="1"/>
  <c r="D996" i="1"/>
  <c r="M996" i="1"/>
  <c r="C997" i="1"/>
  <c r="D997" i="1"/>
  <c r="M997" i="1"/>
  <c r="C998" i="1"/>
  <c r="D998" i="1"/>
  <c r="M998" i="1"/>
  <c r="C999" i="1"/>
  <c r="D999" i="1"/>
  <c r="M999" i="1"/>
  <c r="C1000" i="1"/>
  <c r="D1000" i="1"/>
  <c r="M1000" i="1"/>
  <c r="C1001" i="1"/>
  <c r="D1001" i="1"/>
  <c r="M1001" i="1"/>
  <c r="P13" i="1" l="1"/>
  <c r="M2" i="1"/>
  <c r="D2" i="1"/>
  <c r="P4" i="1" s="1"/>
  <c r="C2" i="1"/>
  <c r="P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<sst xmlns="http://schemas.openxmlformats.org/spreadsheetml/2006/main" count="5466" uniqueCount="1085">
  <si>
    <t>Transaction ID</t>
  </si>
  <si>
    <t>Order Date</t>
  </si>
  <si>
    <t>Restaurant Location</t>
  </si>
  <si>
    <t>Order Type</t>
  </si>
  <si>
    <t>Menu Item</t>
  </si>
  <si>
    <t>Category</t>
  </si>
  <si>
    <t>Quantity</t>
  </si>
  <si>
    <t>Unit Price</t>
  </si>
  <si>
    <t>Order Total</t>
  </si>
  <si>
    <t>Customer Rating</t>
  </si>
  <si>
    <t>RST-30001</t>
  </si>
  <si>
    <t>Coral Gables</t>
  </si>
  <si>
    <t>Delivery</t>
  </si>
  <si>
    <t>Chicken Parmesan</t>
  </si>
  <si>
    <t>Main</t>
  </si>
  <si>
    <t>RST-30002</t>
  </si>
  <si>
    <t>Chicago Loop</t>
  </si>
  <si>
    <t>Takeaway</t>
  </si>
  <si>
    <t>House Wine</t>
  </si>
  <si>
    <t>Beverage</t>
  </si>
  <si>
    <t>RST-30003</t>
  </si>
  <si>
    <t>Midtown East</t>
  </si>
  <si>
    <t>Soup of the Day</t>
  </si>
  <si>
    <t>Appetizer</t>
  </si>
  <si>
    <t>RST-30004</t>
  </si>
  <si>
    <t>Lincoln Park</t>
  </si>
  <si>
    <t>Sparkling Water</t>
  </si>
  <si>
    <t>RST-30005</t>
  </si>
  <si>
    <t>Austin South Congress</t>
  </si>
  <si>
    <t>Dine-In</t>
  </si>
  <si>
    <t>Craft Beer</t>
  </si>
  <si>
    <t>RST-30006</t>
  </si>
  <si>
    <t>Downtown Manhattan</t>
  </si>
  <si>
    <t>RST-30007</t>
  </si>
  <si>
    <t>Miami Beach</t>
  </si>
  <si>
    <t>RST-30008</t>
  </si>
  <si>
    <t>Mushroom Risotto</t>
  </si>
  <si>
    <t>RST-30009</t>
  </si>
  <si>
    <t>Upper West Side</t>
  </si>
  <si>
    <t>Grilled Salmon</t>
  </si>
  <si>
    <t>RST-30010</t>
  </si>
  <si>
    <t>Caesar Salad</t>
  </si>
  <si>
    <t>RST-30011</t>
  </si>
  <si>
    <t>Bruschetta</t>
  </si>
  <si>
    <t>RST-30012</t>
  </si>
  <si>
    <t>Brooklyn Heights</t>
  </si>
  <si>
    <t>NY Strip Steak</t>
  </si>
  <si>
    <t>RST-30013</t>
  </si>
  <si>
    <t>RST-30014</t>
  </si>
  <si>
    <t>RST-30015</t>
  </si>
  <si>
    <t>BBQ Ribs</t>
  </si>
  <si>
    <t>RST-30016</t>
  </si>
  <si>
    <t>Smoothie</t>
  </si>
  <si>
    <t>RST-30017</t>
  </si>
  <si>
    <t>RST-30018</t>
  </si>
  <si>
    <t>Mozzarella Sticks</t>
  </si>
  <si>
    <t>RST-30019</t>
  </si>
  <si>
    <t>Burger Deluxe</t>
  </si>
  <si>
    <t>RST-30020</t>
  </si>
  <si>
    <t>RST-30021</t>
  </si>
  <si>
    <t>RST-30022</t>
  </si>
  <si>
    <t>RST-30023</t>
  </si>
  <si>
    <t>Spring Rolls</t>
  </si>
  <si>
    <t>RST-30024</t>
  </si>
  <si>
    <t>RST-30025</t>
  </si>
  <si>
    <t>RST-30026</t>
  </si>
  <si>
    <t>Ice Cream Sundae</t>
  </si>
  <si>
    <t>Dessert</t>
  </si>
  <si>
    <t>RST-30027</t>
  </si>
  <si>
    <t>Apple Pie</t>
  </si>
  <si>
    <t>RST-30028</t>
  </si>
  <si>
    <t>RST-30029</t>
  </si>
  <si>
    <t>RST-30030</t>
  </si>
  <si>
    <t>RST-30031</t>
  </si>
  <si>
    <t>Pasta Primavera</t>
  </si>
  <si>
    <t>RST-30032</t>
  </si>
  <si>
    <t>RST-30033</t>
  </si>
  <si>
    <t>RST-30034</t>
  </si>
  <si>
    <t>RST-30035</t>
  </si>
  <si>
    <t>Cheesecake</t>
  </si>
  <si>
    <t>RST-30036</t>
  </si>
  <si>
    <t>RST-30037</t>
  </si>
  <si>
    <t>RST-30038</t>
  </si>
  <si>
    <t>Fish &amp; Chips</t>
  </si>
  <si>
    <t>RST-30039</t>
  </si>
  <si>
    <t>RST-30040</t>
  </si>
  <si>
    <t>RST-30041</t>
  </si>
  <si>
    <t>RST-30042</t>
  </si>
  <si>
    <t>RST-30043</t>
  </si>
  <si>
    <t>RST-30044</t>
  </si>
  <si>
    <t>RST-30045</t>
  </si>
  <si>
    <t>RST-30046</t>
  </si>
  <si>
    <t>RST-30047</t>
  </si>
  <si>
    <t>RST-30048</t>
  </si>
  <si>
    <t>RST-30049</t>
  </si>
  <si>
    <t>RST-30050</t>
  </si>
  <si>
    <t>RST-30051</t>
  </si>
  <si>
    <t>Austin Downtown</t>
  </si>
  <si>
    <t>RST-30052</t>
  </si>
  <si>
    <t>RST-30053</t>
  </si>
  <si>
    <t>RST-30054</t>
  </si>
  <si>
    <t>RST-30055</t>
  </si>
  <si>
    <t>RST-30056</t>
  </si>
  <si>
    <t>RST-30057</t>
  </si>
  <si>
    <t>RST-30058</t>
  </si>
  <si>
    <t>RST-30059</t>
  </si>
  <si>
    <t>RST-30060</t>
  </si>
  <si>
    <t>RST-30061</t>
  </si>
  <si>
    <t>RST-30062</t>
  </si>
  <si>
    <t>RST-30063</t>
  </si>
  <si>
    <t>RST-30064</t>
  </si>
  <si>
    <t>RST-30065</t>
  </si>
  <si>
    <t>Iced Coffee</t>
  </si>
  <si>
    <t>RST-30066</t>
  </si>
  <si>
    <t>RST-30067</t>
  </si>
  <si>
    <t>RST-30068</t>
  </si>
  <si>
    <t>RST-30069</t>
  </si>
  <si>
    <t>RST-30070</t>
  </si>
  <si>
    <t>RST-30071</t>
  </si>
  <si>
    <t>Fresh Lemonade</t>
  </si>
  <si>
    <t>RST-30072</t>
  </si>
  <si>
    <t>RST-30073</t>
  </si>
  <si>
    <t>RST-30074</t>
  </si>
  <si>
    <t>RST-30075</t>
  </si>
  <si>
    <t>RST-30076</t>
  </si>
  <si>
    <t>RST-30077</t>
  </si>
  <si>
    <t>RST-30078</t>
  </si>
  <si>
    <t>RST-30079</t>
  </si>
  <si>
    <t>RST-30080</t>
  </si>
  <si>
    <t>RST-30081</t>
  </si>
  <si>
    <t>RST-30082</t>
  </si>
  <si>
    <t>RST-30083</t>
  </si>
  <si>
    <t>RST-30084</t>
  </si>
  <si>
    <t>RST-30085</t>
  </si>
  <si>
    <t>RST-30086</t>
  </si>
  <si>
    <t>RST-30087</t>
  </si>
  <si>
    <t>RST-30088</t>
  </si>
  <si>
    <t>RST-30089</t>
  </si>
  <si>
    <t>RST-30090</t>
  </si>
  <si>
    <t>RST-30091</t>
  </si>
  <si>
    <t>RST-30092</t>
  </si>
  <si>
    <t>RST-30093</t>
  </si>
  <si>
    <t>Buffalo Wings</t>
  </si>
  <si>
    <t>RST-30094</t>
  </si>
  <si>
    <t>RST-30095</t>
  </si>
  <si>
    <t>RST-30096</t>
  </si>
  <si>
    <t>RST-30097</t>
  </si>
  <si>
    <t>RST-30098</t>
  </si>
  <si>
    <t>RST-30099</t>
  </si>
  <si>
    <t>RST-30100</t>
  </si>
  <si>
    <t>RST-30101</t>
  </si>
  <si>
    <t>RST-30102</t>
  </si>
  <si>
    <t>RST-30103</t>
  </si>
  <si>
    <t>RST-30104</t>
  </si>
  <si>
    <t>RST-30105</t>
  </si>
  <si>
    <t>RST-30106</t>
  </si>
  <si>
    <t>RST-30107</t>
  </si>
  <si>
    <t>RST-30108</t>
  </si>
  <si>
    <t>RST-30109</t>
  </si>
  <si>
    <t>RST-30110</t>
  </si>
  <si>
    <t>RST-30111</t>
  </si>
  <si>
    <t>RST-30112</t>
  </si>
  <si>
    <t>RST-30113</t>
  </si>
  <si>
    <t>RST-30114</t>
  </si>
  <si>
    <t>RST-30115</t>
  </si>
  <si>
    <t>RST-30116</t>
  </si>
  <si>
    <t>RST-30117</t>
  </si>
  <si>
    <t>RST-30118</t>
  </si>
  <si>
    <t>RST-30119</t>
  </si>
  <si>
    <t>RST-30120</t>
  </si>
  <si>
    <t>RST-30121</t>
  </si>
  <si>
    <t>RST-30122</t>
  </si>
  <si>
    <t>RST-30123</t>
  </si>
  <si>
    <t>RST-30124</t>
  </si>
  <si>
    <t>RST-30125</t>
  </si>
  <si>
    <t>RST-30126</t>
  </si>
  <si>
    <t>Chocolate Lava Cake</t>
  </si>
  <si>
    <t>RST-30127</t>
  </si>
  <si>
    <t>RST-30128</t>
  </si>
  <si>
    <t>RST-30129</t>
  </si>
  <si>
    <t>RST-30130</t>
  </si>
  <si>
    <t>RST-30131</t>
  </si>
  <si>
    <t>RST-30132</t>
  </si>
  <si>
    <t>RST-30133</t>
  </si>
  <si>
    <t>RST-30134</t>
  </si>
  <si>
    <t>RST-30135</t>
  </si>
  <si>
    <t>RST-30136</t>
  </si>
  <si>
    <t>RST-30137</t>
  </si>
  <si>
    <t>RST-30138</t>
  </si>
  <si>
    <t>RST-30139</t>
  </si>
  <si>
    <t>RST-30140</t>
  </si>
  <si>
    <t>RST-30141</t>
  </si>
  <si>
    <t>RST-30142</t>
  </si>
  <si>
    <t>RST-30143</t>
  </si>
  <si>
    <t>RST-30144</t>
  </si>
  <si>
    <t>RST-30145</t>
  </si>
  <si>
    <t>RST-30146</t>
  </si>
  <si>
    <t>RST-30147</t>
  </si>
  <si>
    <t>RST-30148</t>
  </si>
  <si>
    <t>RST-30149</t>
  </si>
  <si>
    <t>RST-30150</t>
  </si>
  <si>
    <t>RST-30151</t>
  </si>
  <si>
    <t>RST-30152</t>
  </si>
  <si>
    <t>RST-30153</t>
  </si>
  <si>
    <t>RST-30154</t>
  </si>
  <si>
    <t>RST-30155</t>
  </si>
  <si>
    <t>RST-30156</t>
  </si>
  <si>
    <t>RST-30157</t>
  </si>
  <si>
    <t>RST-30158</t>
  </si>
  <si>
    <t>RST-30159</t>
  </si>
  <si>
    <t>RST-30160</t>
  </si>
  <si>
    <t>RST-30161</t>
  </si>
  <si>
    <t>RST-30162</t>
  </si>
  <si>
    <t>RST-30163</t>
  </si>
  <si>
    <t>RST-30164</t>
  </si>
  <si>
    <t>RST-30165</t>
  </si>
  <si>
    <t>RST-30166</t>
  </si>
  <si>
    <t>RST-30167</t>
  </si>
  <si>
    <t>RST-30168</t>
  </si>
  <si>
    <t>RST-30169</t>
  </si>
  <si>
    <t>RST-30170</t>
  </si>
  <si>
    <t>Tiramisu</t>
  </si>
  <si>
    <t>RST-30171</t>
  </si>
  <si>
    <t>RST-30172</t>
  </si>
  <si>
    <t>RST-30173</t>
  </si>
  <si>
    <t>RST-30174</t>
  </si>
  <si>
    <t>RST-30175</t>
  </si>
  <si>
    <t>RST-30176</t>
  </si>
  <si>
    <t>RST-30177</t>
  </si>
  <si>
    <t>RST-30178</t>
  </si>
  <si>
    <t>RST-30179</t>
  </si>
  <si>
    <t>RST-30180</t>
  </si>
  <si>
    <t>RST-30181</t>
  </si>
  <si>
    <t>RST-30182</t>
  </si>
  <si>
    <t>RST-30183</t>
  </si>
  <si>
    <t>RST-30184</t>
  </si>
  <si>
    <t>RST-30185</t>
  </si>
  <si>
    <t>RST-30186</t>
  </si>
  <si>
    <t>RST-30187</t>
  </si>
  <si>
    <t>RST-30188</t>
  </si>
  <si>
    <t>RST-30189</t>
  </si>
  <si>
    <t>RST-30190</t>
  </si>
  <si>
    <t>RST-30191</t>
  </si>
  <si>
    <t>RST-30192</t>
  </si>
  <si>
    <t>RST-30193</t>
  </si>
  <si>
    <t>RST-30194</t>
  </si>
  <si>
    <t>RST-30195</t>
  </si>
  <si>
    <t>RST-30196</t>
  </si>
  <si>
    <t>RST-30197</t>
  </si>
  <si>
    <t>RST-30198</t>
  </si>
  <si>
    <t>RST-30199</t>
  </si>
  <si>
    <t>RST-30200</t>
  </si>
  <si>
    <t>RST-30201</t>
  </si>
  <si>
    <t>RST-30202</t>
  </si>
  <si>
    <t>RST-30203</t>
  </si>
  <si>
    <t>RST-30204</t>
  </si>
  <si>
    <t>RST-30205</t>
  </si>
  <si>
    <t>RST-30206</t>
  </si>
  <si>
    <t>RST-30207</t>
  </si>
  <si>
    <t>RST-30208</t>
  </si>
  <si>
    <t>RST-30209</t>
  </si>
  <si>
    <t>RST-30210</t>
  </si>
  <si>
    <t>RST-30211</t>
  </si>
  <si>
    <t>RST-30212</t>
  </si>
  <si>
    <t>RST-30213</t>
  </si>
  <si>
    <t>RST-30214</t>
  </si>
  <si>
    <t>RST-30215</t>
  </si>
  <si>
    <t>RST-30216</t>
  </si>
  <si>
    <t>RST-30217</t>
  </si>
  <si>
    <t>RST-30218</t>
  </si>
  <si>
    <t>RST-30219</t>
  </si>
  <si>
    <t>RST-30220</t>
  </si>
  <si>
    <t>RST-30221</t>
  </si>
  <si>
    <t>RST-30222</t>
  </si>
  <si>
    <t>RST-30223</t>
  </si>
  <si>
    <t>RST-30224</t>
  </si>
  <si>
    <t>RST-30225</t>
  </si>
  <si>
    <t>RST-30226</t>
  </si>
  <si>
    <t>RST-30227</t>
  </si>
  <si>
    <t>RST-30228</t>
  </si>
  <si>
    <t>RST-30229</t>
  </si>
  <si>
    <t>RST-30230</t>
  </si>
  <si>
    <t>RST-30231</t>
  </si>
  <si>
    <t>RST-30232</t>
  </si>
  <si>
    <t>RST-30233</t>
  </si>
  <si>
    <t>RST-30234</t>
  </si>
  <si>
    <t>RST-30235</t>
  </si>
  <si>
    <t>RST-30236</t>
  </si>
  <si>
    <t>RST-30237</t>
  </si>
  <si>
    <t>RST-30238</t>
  </si>
  <si>
    <t>RST-30239</t>
  </si>
  <si>
    <t>RST-30240</t>
  </si>
  <si>
    <t>RST-30241</t>
  </si>
  <si>
    <t>RST-30242</t>
  </si>
  <si>
    <t>RST-30243</t>
  </si>
  <si>
    <t>RST-30244</t>
  </si>
  <si>
    <t>RST-30245</t>
  </si>
  <si>
    <t>RST-30246</t>
  </si>
  <si>
    <t>RST-30247</t>
  </si>
  <si>
    <t>RST-30248</t>
  </si>
  <si>
    <t>RST-30249</t>
  </si>
  <si>
    <t>RST-30250</t>
  </si>
  <si>
    <t>RST-30251</t>
  </si>
  <si>
    <t>RST-30252</t>
  </si>
  <si>
    <t>RST-30253</t>
  </si>
  <si>
    <t>RST-30254</t>
  </si>
  <si>
    <t>RST-30255</t>
  </si>
  <si>
    <t>RST-30256</t>
  </si>
  <si>
    <t>RST-30257</t>
  </si>
  <si>
    <t>RST-30258</t>
  </si>
  <si>
    <t>RST-30259</t>
  </si>
  <si>
    <t>RST-30260</t>
  </si>
  <si>
    <t>RST-30261</t>
  </si>
  <si>
    <t>RST-30262</t>
  </si>
  <si>
    <t>RST-30263</t>
  </si>
  <si>
    <t>RST-30264</t>
  </si>
  <si>
    <t>RST-30265</t>
  </si>
  <si>
    <t>RST-30266</t>
  </si>
  <si>
    <t>RST-30267</t>
  </si>
  <si>
    <t>RST-30268</t>
  </si>
  <si>
    <t>RST-30269</t>
  </si>
  <si>
    <t>RST-30270</t>
  </si>
  <si>
    <t>RST-30271</t>
  </si>
  <si>
    <t>RST-30272</t>
  </si>
  <si>
    <t>RST-30273</t>
  </si>
  <si>
    <t>RST-30274</t>
  </si>
  <si>
    <t>RST-30275</t>
  </si>
  <si>
    <t>RST-30276</t>
  </si>
  <si>
    <t>RST-30277</t>
  </si>
  <si>
    <t>RST-30278</t>
  </si>
  <si>
    <t>RST-30279</t>
  </si>
  <si>
    <t>RST-30280</t>
  </si>
  <si>
    <t>RST-30281</t>
  </si>
  <si>
    <t>RST-30282</t>
  </si>
  <si>
    <t>RST-30283</t>
  </si>
  <si>
    <t>RST-30284</t>
  </si>
  <si>
    <t>RST-30285</t>
  </si>
  <si>
    <t>RST-30286</t>
  </si>
  <si>
    <t>RST-30287</t>
  </si>
  <si>
    <t>RST-30288</t>
  </si>
  <si>
    <t>RST-30289</t>
  </si>
  <si>
    <t>RST-30290</t>
  </si>
  <si>
    <t>RST-30291</t>
  </si>
  <si>
    <t>RST-30292</t>
  </si>
  <si>
    <t>RST-30293</t>
  </si>
  <si>
    <t>RST-30294</t>
  </si>
  <si>
    <t>RST-30295</t>
  </si>
  <si>
    <t>RST-30296</t>
  </si>
  <si>
    <t>RST-30297</t>
  </si>
  <si>
    <t>RST-30298</t>
  </si>
  <si>
    <t>RST-30299</t>
  </si>
  <si>
    <t>RST-30300</t>
  </si>
  <si>
    <t>RST-30301</t>
  </si>
  <si>
    <t>RST-30302</t>
  </si>
  <si>
    <t>RST-30303</t>
  </si>
  <si>
    <t>RST-30304</t>
  </si>
  <si>
    <t>RST-30305</t>
  </si>
  <si>
    <t>RST-30306</t>
  </si>
  <si>
    <t>RST-30307</t>
  </si>
  <si>
    <t>RST-30308</t>
  </si>
  <si>
    <t>RST-30309</t>
  </si>
  <si>
    <t>RST-30310</t>
  </si>
  <si>
    <t>RST-30311</t>
  </si>
  <si>
    <t>RST-30312</t>
  </si>
  <si>
    <t>RST-30313</t>
  </si>
  <si>
    <t>RST-30314</t>
  </si>
  <si>
    <t>RST-30315</t>
  </si>
  <si>
    <t>RST-30316</t>
  </si>
  <si>
    <t>RST-30317</t>
  </si>
  <si>
    <t>RST-30318</t>
  </si>
  <si>
    <t>RST-30319</t>
  </si>
  <si>
    <t>RST-30320</t>
  </si>
  <si>
    <t>RST-30321</t>
  </si>
  <si>
    <t>RST-30322</t>
  </si>
  <si>
    <t>RST-30323</t>
  </si>
  <si>
    <t>RST-30324</t>
  </si>
  <si>
    <t>RST-30325</t>
  </si>
  <si>
    <t>RST-30326</t>
  </si>
  <si>
    <t>RST-30327</t>
  </si>
  <si>
    <t>RST-30328</t>
  </si>
  <si>
    <t>RST-30329</t>
  </si>
  <si>
    <t>RST-30330</t>
  </si>
  <si>
    <t>RST-30331</t>
  </si>
  <si>
    <t>RST-30332</t>
  </si>
  <si>
    <t>RST-30333</t>
  </si>
  <si>
    <t>RST-30334</t>
  </si>
  <si>
    <t>RST-30335</t>
  </si>
  <si>
    <t>RST-30336</t>
  </si>
  <si>
    <t>RST-30337</t>
  </si>
  <si>
    <t>RST-30338</t>
  </si>
  <si>
    <t>RST-30339</t>
  </si>
  <si>
    <t>RST-30340</t>
  </si>
  <si>
    <t>RST-30341</t>
  </si>
  <si>
    <t>RST-30342</t>
  </si>
  <si>
    <t>RST-30343</t>
  </si>
  <si>
    <t>RST-30344</t>
  </si>
  <si>
    <t>RST-30345</t>
  </si>
  <si>
    <t>RST-30346</t>
  </si>
  <si>
    <t>RST-30347</t>
  </si>
  <si>
    <t>RST-30348</t>
  </si>
  <si>
    <t>RST-30349</t>
  </si>
  <si>
    <t>RST-30350</t>
  </si>
  <si>
    <t>RST-30351</t>
  </si>
  <si>
    <t>RST-30352</t>
  </si>
  <si>
    <t>RST-30353</t>
  </si>
  <si>
    <t>RST-30354</t>
  </si>
  <si>
    <t>RST-30355</t>
  </si>
  <si>
    <t>RST-30356</t>
  </si>
  <si>
    <t>RST-30357</t>
  </si>
  <si>
    <t>RST-30358</t>
  </si>
  <si>
    <t>RST-30359</t>
  </si>
  <si>
    <t>RST-30360</t>
  </si>
  <si>
    <t>RST-30361</t>
  </si>
  <si>
    <t>RST-30362</t>
  </si>
  <si>
    <t>RST-30363</t>
  </si>
  <si>
    <t>RST-30364</t>
  </si>
  <si>
    <t>RST-30365</t>
  </si>
  <si>
    <t>RST-30366</t>
  </si>
  <si>
    <t>RST-30367</t>
  </si>
  <si>
    <t>RST-30368</t>
  </si>
  <si>
    <t>RST-30369</t>
  </si>
  <si>
    <t>RST-30370</t>
  </si>
  <si>
    <t>RST-30371</t>
  </si>
  <si>
    <t>RST-30372</t>
  </si>
  <si>
    <t>RST-30373</t>
  </si>
  <si>
    <t>RST-30374</t>
  </si>
  <si>
    <t>RST-30375</t>
  </si>
  <si>
    <t>RST-30376</t>
  </si>
  <si>
    <t>RST-30377</t>
  </si>
  <si>
    <t>RST-30378</t>
  </si>
  <si>
    <t>RST-30379</t>
  </si>
  <si>
    <t>RST-30380</t>
  </si>
  <si>
    <t>RST-30381</t>
  </si>
  <si>
    <t>RST-30382</t>
  </si>
  <si>
    <t>RST-30383</t>
  </si>
  <si>
    <t>RST-30384</t>
  </si>
  <si>
    <t>RST-30385</t>
  </si>
  <si>
    <t>RST-30386</t>
  </si>
  <si>
    <t>RST-30387</t>
  </si>
  <si>
    <t>RST-30388</t>
  </si>
  <si>
    <t>RST-30389</t>
  </si>
  <si>
    <t>RST-30390</t>
  </si>
  <si>
    <t>RST-30391</t>
  </si>
  <si>
    <t>RST-30392</t>
  </si>
  <si>
    <t>RST-30393</t>
  </si>
  <si>
    <t>RST-30394</t>
  </si>
  <si>
    <t>RST-30395</t>
  </si>
  <si>
    <t>RST-30396</t>
  </si>
  <si>
    <t>RST-30397</t>
  </si>
  <si>
    <t>RST-30398</t>
  </si>
  <si>
    <t>RST-30399</t>
  </si>
  <si>
    <t>RST-30400</t>
  </si>
  <si>
    <t>RST-30401</t>
  </si>
  <si>
    <t>RST-30402</t>
  </si>
  <si>
    <t>RST-30403</t>
  </si>
  <si>
    <t>RST-30404</t>
  </si>
  <si>
    <t>RST-30405</t>
  </si>
  <si>
    <t>RST-30406</t>
  </si>
  <si>
    <t>RST-30407</t>
  </si>
  <si>
    <t>RST-30408</t>
  </si>
  <si>
    <t>RST-30409</t>
  </si>
  <si>
    <t>RST-30410</t>
  </si>
  <si>
    <t>RST-30411</t>
  </si>
  <si>
    <t>RST-30412</t>
  </si>
  <si>
    <t>RST-30413</t>
  </si>
  <si>
    <t>RST-30414</t>
  </si>
  <si>
    <t>RST-30415</t>
  </si>
  <si>
    <t>RST-30416</t>
  </si>
  <si>
    <t>RST-30417</t>
  </si>
  <si>
    <t>RST-30418</t>
  </si>
  <si>
    <t>RST-30419</t>
  </si>
  <si>
    <t>RST-30420</t>
  </si>
  <si>
    <t>RST-30421</t>
  </si>
  <si>
    <t>RST-30422</t>
  </si>
  <si>
    <t>RST-30423</t>
  </si>
  <si>
    <t>RST-30424</t>
  </si>
  <si>
    <t>RST-30425</t>
  </si>
  <si>
    <t>RST-30426</t>
  </si>
  <si>
    <t>RST-30427</t>
  </si>
  <si>
    <t>RST-30428</t>
  </si>
  <si>
    <t>RST-30429</t>
  </si>
  <si>
    <t>RST-30430</t>
  </si>
  <si>
    <t>RST-30431</t>
  </si>
  <si>
    <t>RST-30432</t>
  </si>
  <si>
    <t>RST-30433</t>
  </si>
  <si>
    <t>RST-30434</t>
  </si>
  <si>
    <t>RST-30435</t>
  </si>
  <si>
    <t>RST-30436</t>
  </si>
  <si>
    <t>RST-30437</t>
  </si>
  <si>
    <t>RST-30438</t>
  </si>
  <si>
    <t>RST-30439</t>
  </si>
  <si>
    <t>RST-30440</t>
  </si>
  <si>
    <t>RST-30441</t>
  </si>
  <si>
    <t>RST-30442</t>
  </si>
  <si>
    <t>RST-30443</t>
  </si>
  <si>
    <t>RST-30444</t>
  </si>
  <si>
    <t>RST-30445</t>
  </si>
  <si>
    <t>RST-30446</t>
  </si>
  <si>
    <t>RST-30447</t>
  </si>
  <si>
    <t>RST-30448</t>
  </si>
  <si>
    <t>RST-30449</t>
  </si>
  <si>
    <t>RST-30450</t>
  </si>
  <si>
    <t>RST-30451</t>
  </si>
  <si>
    <t>RST-30452</t>
  </si>
  <si>
    <t>RST-30453</t>
  </si>
  <si>
    <t>RST-30454</t>
  </si>
  <si>
    <t>RST-30455</t>
  </si>
  <si>
    <t>RST-30456</t>
  </si>
  <si>
    <t>RST-30457</t>
  </si>
  <si>
    <t>RST-30458</t>
  </si>
  <si>
    <t>RST-30459</t>
  </si>
  <si>
    <t>RST-30460</t>
  </si>
  <si>
    <t>RST-30461</t>
  </si>
  <si>
    <t>RST-30462</t>
  </si>
  <si>
    <t>RST-30463</t>
  </si>
  <si>
    <t>RST-30464</t>
  </si>
  <si>
    <t>RST-30465</t>
  </si>
  <si>
    <t>RST-30466</t>
  </si>
  <si>
    <t>RST-30467</t>
  </si>
  <si>
    <t>RST-30468</t>
  </si>
  <si>
    <t>RST-30469</t>
  </si>
  <si>
    <t>RST-30470</t>
  </si>
  <si>
    <t>RST-30471</t>
  </si>
  <si>
    <t>RST-30472</t>
  </si>
  <si>
    <t>RST-30473</t>
  </si>
  <si>
    <t>RST-30474</t>
  </si>
  <si>
    <t>RST-30475</t>
  </si>
  <si>
    <t>RST-30476</t>
  </si>
  <si>
    <t>RST-30477</t>
  </si>
  <si>
    <t>RST-30478</t>
  </si>
  <si>
    <t>RST-30479</t>
  </si>
  <si>
    <t>RST-30480</t>
  </si>
  <si>
    <t>RST-30481</t>
  </si>
  <si>
    <t>RST-30482</t>
  </si>
  <si>
    <t>RST-30483</t>
  </si>
  <si>
    <t>RST-30484</t>
  </si>
  <si>
    <t>RST-30485</t>
  </si>
  <si>
    <t>RST-30486</t>
  </si>
  <si>
    <t>RST-30487</t>
  </si>
  <si>
    <t>RST-30488</t>
  </si>
  <si>
    <t>RST-30489</t>
  </si>
  <si>
    <t>RST-30490</t>
  </si>
  <si>
    <t>RST-30491</t>
  </si>
  <si>
    <t>RST-30492</t>
  </si>
  <si>
    <t>RST-30493</t>
  </si>
  <si>
    <t>RST-30494</t>
  </si>
  <si>
    <t>RST-30495</t>
  </si>
  <si>
    <t>RST-30496</t>
  </si>
  <si>
    <t>RST-30497</t>
  </si>
  <si>
    <t>RST-30498</t>
  </si>
  <si>
    <t>RST-30499</t>
  </si>
  <si>
    <t>RST-30500</t>
  </si>
  <si>
    <t>RST-30501</t>
  </si>
  <si>
    <t>RST-30502</t>
  </si>
  <si>
    <t>RST-30503</t>
  </si>
  <si>
    <t>RST-30504</t>
  </si>
  <si>
    <t>RST-30505</t>
  </si>
  <si>
    <t>RST-30506</t>
  </si>
  <si>
    <t>RST-30507</t>
  </si>
  <si>
    <t>RST-30508</t>
  </si>
  <si>
    <t>RST-30509</t>
  </si>
  <si>
    <t>RST-30510</t>
  </si>
  <si>
    <t>RST-30511</t>
  </si>
  <si>
    <t>RST-30512</t>
  </si>
  <si>
    <t>RST-30513</t>
  </si>
  <si>
    <t>RST-30514</t>
  </si>
  <si>
    <t>RST-30515</t>
  </si>
  <si>
    <t>RST-30516</t>
  </si>
  <si>
    <t>RST-30517</t>
  </si>
  <si>
    <t>RST-30518</t>
  </si>
  <si>
    <t>RST-30519</t>
  </si>
  <si>
    <t>RST-30520</t>
  </si>
  <si>
    <t>RST-30521</t>
  </si>
  <si>
    <t>RST-30522</t>
  </si>
  <si>
    <t>RST-30523</t>
  </si>
  <si>
    <t>RST-30524</t>
  </si>
  <si>
    <t>RST-30525</t>
  </si>
  <si>
    <t>RST-30526</t>
  </si>
  <si>
    <t>RST-30527</t>
  </si>
  <si>
    <t>RST-30528</t>
  </si>
  <si>
    <t>RST-30529</t>
  </si>
  <si>
    <t>RST-30530</t>
  </si>
  <si>
    <t>RST-30531</t>
  </si>
  <si>
    <t>RST-30532</t>
  </si>
  <si>
    <t>RST-30533</t>
  </si>
  <si>
    <t>RST-30534</t>
  </si>
  <si>
    <t>RST-30535</t>
  </si>
  <si>
    <t>RST-30536</t>
  </si>
  <si>
    <t>RST-30537</t>
  </si>
  <si>
    <t>RST-30538</t>
  </si>
  <si>
    <t>RST-30539</t>
  </si>
  <si>
    <t>RST-30540</t>
  </si>
  <si>
    <t>RST-30541</t>
  </si>
  <si>
    <t>RST-30542</t>
  </si>
  <si>
    <t>RST-30543</t>
  </si>
  <si>
    <t>RST-30544</t>
  </si>
  <si>
    <t>RST-30545</t>
  </si>
  <si>
    <t>RST-30546</t>
  </si>
  <si>
    <t>RST-30547</t>
  </si>
  <si>
    <t>RST-30548</t>
  </si>
  <si>
    <t>RST-30549</t>
  </si>
  <si>
    <t>RST-30550</t>
  </si>
  <si>
    <t>RST-30551</t>
  </si>
  <si>
    <t>RST-30552</t>
  </si>
  <si>
    <t>RST-30553</t>
  </si>
  <si>
    <t>RST-30554</t>
  </si>
  <si>
    <t>RST-30555</t>
  </si>
  <si>
    <t>RST-30556</t>
  </si>
  <si>
    <t>RST-30557</t>
  </si>
  <si>
    <t>RST-30558</t>
  </si>
  <si>
    <t>RST-30559</t>
  </si>
  <si>
    <t>RST-30560</t>
  </si>
  <si>
    <t>RST-30561</t>
  </si>
  <si>
    <t>RST-30562</t>
  </si>
  <si>
    <t>RST-30563</t>
  </si>
  <si>
    <t>RST-30564</t>
  </si>
  <si>
    <t>RST-30565</t>
  </si>
  <si>
    <t>RST-30566</t>
  </si>
  <si>
    <t>RST-30567</t>
  </si>
  <si>
    <t>RST-30568</t>
  </si>
  <si>
    <t>RST-30569</t>
  </si>
  <si>
    <t>RST-30570</t>
  </si>
  <si>
    <t>RST-30571</t>
  </si>
  <si>
    <t>RST-30572</t>
  </si>
  <si>
    <t>RST-30573</t>
  </si>
  <si>
    <t>RST-30574</t>
  </si>
  <si>
    <t>RST-30575</t>
  </si>
  <si>
    <t>RST-30576</t>
  </si>
  <si>
    <t>RST-30577</t>
  </si>
  <si>
    <t>RST-30578</t>
  </si>
  <si>
    <t>RST-30579</t>
  </si>
  <si>
    <t>RST-30580</t>
  </si>
  <si>
    <t>RST-30581</t>
  </si>
  <si>
    <t>RST-30582</t>
  </si>
  <si>
    <t>RST-30583</t>
  </si>
  <si>
    <t>RST-30584</t>
  </si>
  <si>
    <t>RST-30585</t>
  </si>
  <si>
    <t>RST-30586</t>
  </si>
  <si>
    <t>RST-30587</t>
  </si>
  <si>
    <t>RST-30588</t>
  </si>
  <si>
    <t>RST-30589</t>
  </si>
  <si>
    <t>RST-30590</t>
  </si>
  <si>
    <t>RST-30591</t>
  </si>
  <si>
    <t>RST-30592</t>
  </si>
  <si>
    <t>RST-30593</t>
  </si>
  <si>
    <t>RST-30594</t>
  </si>
  <si>
    <t>RST-30595</t>
  </si>
  <si>
    <t>RST-30596</t>
  </si>
  <si>
    <t>RST-30597</t>
  </si>
  <si>
    <t>RST-30598</t>
  </si>
  <si>
    <t>RST-30599</t>
  </si>
  <si>
    <t>RST-30600</t>
  </si>
  <si>
    <t>RST-30601</t>
  </si>
  <si>
    <t>RST-30602</t>
  </si>
  <si>
    <t>RST-30603</t>
  </si>
  <si>
    <t>RST-30604</t>
  </si>
  <si>
    <t>RST-30605</t>
  </si>
  <si>
    <t>RST-30606</t>
  </si>
  <si>
    <t>RST-30607</t>
  </si>
  <si>
    <t>RST-30608</t>
  </si>
  <si>
    <t>RST-30609</t>
  </si>
  <si>
    <t>RST-30610</t>
  </si>
  <si>
    <t>RST-30611</t>
  </si>
  <si>
    <t>RST-30612</t>
  </si>
  <si>
    <t>RST-30613</t>
  </si>
  <si>
    <t>RST-30614</t>
  </si>
  <si>
    <t>RST-30615</t>
  </si>
  <si>
    <t>RST-30616</t>
  </si>
  <si>
    <t>RST-30617</t>
  </si>
  <si>
    <t>RST-30618</t>
  </si>
  <si>
    <t>RST-30619</t>
  </si>
  <si>
    <t>RST-30620</t>
  </si>
  <si>
    <t>RST-30621</t>
  </si>
  <si>
    <t>RST-30622</t>
  </si>
  <si>
    <t>RST-30623</t>
  </si>
  <si>
    <t>RST-30624</t>
  </si>
  <si>
    <t>RST-30625</t>
  </si>
  <si>
    <t>RST-30626</t>
  </si>
  <si>
    <t>RST-30627</t>
  </si>
  <si>
    <t>RST-30628</t>
  </si>
  <si>
    <t>RST-30629</t>
  </si>
  <si>
    <t>RST-30630</t>
  </si>
  <si>
    <t>RST-30631</t>
  </si>
  <si>
    <t>RST-30632</t>
  </si>
  <si>
    <t>RST-30633</t>
  </si>
  <si>
    <t>RST-30634</t>
  </si>
  <si>
    <t>RST-30635</t>
  </si>
  <si>
    <t>RST-30636</t>
  </si>
  <si>
    <t>RST-30637</t>
  </si>
  <si>
    <t>RST-30638</t>
  </si>
  <si>
    <t>RST-30639</t>
  </si>
  <si>
    <t>RST-30640</t>
  </si>
  <si>
    <t>RST-30641</t>
  </si>
  <si>
    <t>RST-30642</t>
  </si>
  <si>
    <t>RST-30643</t>
  </si>
  <si>
    <t>RST-30644</t>
  </si>
  <si>
    <t>RST-30645</t>
  </si>
  <si>
    <t>RST-30646</t>
  </si>
  <si>
    <t>RST-30647</t>
  </si>
  <si>
    <t>RST-30648</t>
  </si>
  <si>
    <t>RST-30649</t>
  </si>
  <si>
    <t>RST-30650</t>
  </si>
  <si>
    <t>RST-30651</t>
  </si>
  <si>
    <t>RST-30652</t>
  </si>
  <si>
    <t>RST-30653</t>
  </si>
  <si>
    <t>RST-30654</t>
  </si>
  <si>
    <t>RST-30655</t>
  </si>
  <si>
    <t>RST-30656</t>
  </si>
  <si>
    <t>RST-30657</t>
  </si>
  <si>
    <t>RST-30658</t>
  </si>
  <si>
    <t>RST-30659</t>
  </si>
  <si>
    <t>RST-30660</t>
  </si>
  <si>
    <t>RST-30661</t>
  </si>
  <si>
    <t>RST-30662</t>
  </si>
  <si>
    <t>RST-30663</t>
  </si>
  <si>
    <t>RST-30664</t>
  </si>
  <si>
    <t>RST-30665</t>
  </si>
  <si>
    <t>RST-30666</t>
  </si>
  <si>
    <t>RST-30667</t>
  </si>
  <si>
    <t>RST-30668</t>
  </si>
  <si>
    <t>RST-30669</t>
  </si>
  <si>
    <t>RST-30670</t>
  </si>
  <si>
    <t>RST-30671</t>
  </si>
  <si>
    <t>RST-30672</t>
  </si>
  <si>
    <t>RST-30673</t>
  </si>
  <si>
    <t>RST-30674</t>
  </si>
  <si>
    <t>RST-30675</t>
  </si>
  <si>
    <t>RST-30676</t>
  </si>
  <si>
    <t>RST-30677</t>
  </si>
  <si>
    <t>RST-30678</t>
  </si>
  <si>
    <t>RST-30679</t>
  </si>
  <si>
    <t>RST-30680</t>
  </si>
  <si>
    <t>RST-30681</t>
  </si>
  <si>
    <t>RST-30682</t>
  </si>
  <si>
    <t>RST-30683</t>
  </si>
  <si>
    <t>RST-30684</t>
  </si>
  <si>
    <t>RST-30685</t>
  </si>
  <si>
    <t>RST-30686</t>
  </si>
  <si>
    <t>RST-30687</t>
  </si>
  <si>
    <t>RST-30688</t>
  </si>
  <si>
    <t>RST-30689</t>
  </si>
  <si>
    <t>RST-30690</t>
  </si>
  <si>
    <t>RST-30691</t>
  </si>
  <si>
    <t>RST-30692</t>
  </si>
  <si>
    <t>RST-30693</t>
  </si>
  <si>
    <t>RST-30694</t>
  </si>
  <si>
    <t>RST-30695</t>
  </si>
  <si>
    <t>RST-30696</t>
  </si>
  <si>
    <t>RST-30697</t>
  </si>
  <si>
    <t>RST-30698</t>
  </si>
  <si>
    <t>RST-30699</t>
  </si>
  <si>
    <t>RST-30700</t>
  </si>
  <si>
    <t>RST-30701</t>
  </si>
  <si>
    <t>RST-30702</t>
  </si>
  <si>
    <t>RST-30703</t>
  </si>
  <si>
    <t>RST-30704</t>
  </si>
  <si>
    <t>RST-30705</t>
  </si>
  <si>
    <t>RST-30706</t>
  </si>
  <si>
    <t>RST-30707</t>
  </si>
  <si>
    <t>RST-30708</t>
  </si>
  <si>
    <t>RST-30709</t>
  </si>
  <si>
    <t>RST-30710</t>
  </si>
  <si>
    <t>RST-30711</t>
  </si>
  <si>
    <t>RST-30712</t>
  </si>
  <si>
    <t>RST-30713</t>
  </si>
  <si>
    <t>RST-30714</t>
  </si>
  <si>
    <t>RST-30715</t>
  </si>
  <si>
    <t>RST-30716</t>
  </si>
  <si>
    <t>RST-30717</t>
  </si>
  <si>
    <t>RST-30718</t>
  </si>
  <si>
    <t>RST-30719</t>
  </si>
  <si>
    <t>RST-30720</t>
  </si>
  <si>
    <t>RST-30721</t>
  </si>
  <si>
    <t>RST-30722</t>
  </si>
  <si>
    <t>RST-30723</t>
  </si>
  <si>
    <t>RST-30724</t>
  </si>
  <si>
    <t>RST-30725</t>
  </si>
  <si>
    <t>RST-30726</t>
  </si>
  <si>
    <t>RST-30727</t>
  </si>
  <si>
    <t>RST-30728</t>
  </si>
  <si>
    <t>RST-30729</t>
  </si>
  <si>
    <t>RST-30730</t>
  </si>
  <si>
    <t>RST-30731</t>
  </si>
  <si>
    <t>RST-30732</t>
  </si>
  <si>
    <t>RST-30733</t>
  </si>
  <si>
    <t>RST-30734</t>
  </si>
  <si>
    <t>RST-30735</t>
  </si>
  <si>
    <t>RST-30736</t>
  </si>
  <si>
    <t>RST-30737</t>
  </si>
  <si>
    <t>RST-30738</t>
  </si>
  <si>
    <t>RST-30739</t>
  </si>
  <si>
    <t>RST-30740</t>
  </si>
  <si>
    <t>RST-30741</t>
  </si>
  <si>
    <t>RST-30742</t>
  </si>
  <si>
    <t>RST-30743</t>
  </si>
  <si>
    <t>RST-30744</t>
  </si>
  <si>
    <t>RST-30745</t>
  </si>
  <si>
    <t>RST-30746</t>
  </si>
  <si>
    <t>RST-30747</t>
  </si>
  <si>
    <t>RST-30748</t>
  </si>
  <si>
    <t>RST-30749</t>
  </si>
  <si>
    <t>RST-30750</t>
  </si>
  <si>
    <t>RST-30751</t>
  </si>
  <si>
    <t>RST-30752</t>
  </si>
  <si>
    <t>RST-30753</t>
  </si>
  <si>
    <t>RST-30754</t>
  </si>
  <si>
    <t>RST-30755</t>
  </si>
  <si>
    <t>RST-30756</t>
  </si>
  <si>
    <t>RST-30757</t>
  </si>
  <si>
    <t>RST-30758</t>
  </si>
  <si>
    <t>RST-30759</t>
  </si>
  <si>
    <t>RST-30760</t>
  </si>
  <si>
    <t>RST-30761</t>
  </si>
  <si>
    <t>RST-30762</t>
  </si>
  <si>
    <t>RST-30763</t>
  </si>
  <si>
    <t>RST-30764</t>
  </si>
  <si>
    <t>RST-30765</t>
  </si>
  <si>
    <t>RST-30766</t>
  </si>
  <si>
    <t>RST-30767</t>
  </si>
  <si>
    <t>RST-30768</t>
  </si>
  <si>
    <t>RST-30769</t>
  </si>
  <si>
    <t>RST-30770</t>
  </si>
  <si>
    <t>RST-30771</t>
  </si>
  <si>
    <t>RST-30772</t>
  </si>
  <si>
    <t>RST-30773</t>
  </si>
  <si>
    <t>RST-30774</t>
  </si>
  <si>
    <t>RST-30775</t>
  </si>
  <si>
    <t>RST-30776</t>
  </si>
  <si>
    <t>RST-30777</t>
  </si>
  <si>
    <t>RST-30778</t>
  </si>
  <si>
    <t>RST-30779</t>
  </si>
  <si>
    <t>RST-30780</t>
  </si>
  <si>
    <t>RST-30781</t>
  </si>
  <si>
    <t>RST-30782</t>
  </si>
  <si>
    <t>RST-30783</t>
  </si>
  <si>
    <t>RST-30784</t>
  </si>
  <si>
    <t>RST-30785</t>
  </si>
  <si>
    <t>RST-30786</t>
  </si>
  <si>
    <t>RST-30787</t>
  </si>
  <si>
    <t>RST-30788</t>
  </si>
  <si>
    <t>RST-30789</t>
  </si>
  <si>
    <t>RST-30790</t>
  </si>
  <si>
    <t>RST-30791</t>
  </si>
  <si>
    <t>RST-30792</t>
  </si>
  <si>
    <t>RST-30793</t>
  </si>
  <si>
    <t>RST-30794</t>
  </si>
  <si>
    <t>RST-30795</t>
  </si>
  <si>
    <t>RST-30796</t>
  </si>
  <si>
    <t>RST-30797</t>
  </si>
  <si>
    <t>RST-30798</t>
  </si>
  <si>
    <t>RST-30799</t>
  </si>
  <si>
    <t>RST-30800</t>
  </si>
  <si>
    <t>RST-30801</t>
  </si>
  <si>
    <t>RST-30802</t>
  </si>
  <si>
    <t>RST-30803</t>
  </si>
  <si>
    <t>RST-30804</t>
  </si>
  <si>
    <t>RST-30805</t>
  </si>
  <si>
    <t>RST-30806</t>
  </si>
  <si>
    <t>RST-30807</t>
  </si>
  <si>
    <t>RST-30808</t>
  </si>
  <si>
    <t>RST-30809</t>
  </si>
  <si>
    <t>RST-30810</t>
  </si>
  <si>
    <t>RST-30811</t>
  </si>
  <si>
    <t>RST-30812</t>
  </si>
  <si>
    <t>RST-30813</t>
  </si>
  <si>
    <t>RST-30814</t>
  </si>
  <si>
    <t>RST-30815</t>
  </si>
  <si>
    <t>RST-30816</t>
  </si>
  <si>
    <t>RST-30817</t>
  </si>
  <si>
    <t>RST-30818</t>
  </si>
  <si>
    <t>RST-30819</t>
  </si>
  <si>
    <t>RST-30820</t>
  </si>
  <si>
    <t>RST-30821</t>
  </si>
  <si>
    <t>RST-30822</t>
  </si>
  <si>
    <t>RST-30823</t>
  </si>
  <si>
    <t>RST-30824</t>
  </si>
  <si>
    <t>RST-30825</t>
  </si>
  <si>
    <t>RST-30826</t>
  </si>
  <si>
    <t>RST-30827</t>
  </si>
  <si>
    <t>RST-30828</t>
  </si>
  <si>
    <t>RST-30829</t>
  </si>
  <si>
    <t>RST-30830</t>
  </si>
  <si>
    <t>RST-30831</t>
  </si>
  <si>
    <t>RST-30832</t>
  </si>
  <si>
    <t>RST-30833</t>
  </si>
  <si>
    <t>RST-30834</t>
  </si>
  <si>
    <t>RST-30835</t>
  </si>
  <si>
    <t>RST-30836</t>
  </si>
  <si>
    <t>RST-30837</t>
  </si>
  <si>
    <t>RST-30838</t>
  </si>
  <si>
    <t>RST-30839</t>
  </si>
  <si>
    <t>RST-30840</t>
  </si>
  <si>
    <t>RST-30841</t>
  </si>
  <si>
    <t>RST-30842</t>
  </si>
  <si>
    <t>RST-30843</t>
  </si>
  <si>
    <t>RST-30844</t>
  </si>
  <si>
    <t>RST-30845</t>
  </si>
  <si>
    <t>RST-30846</t>
  </si>
  <si>
    <t>RST-30847</t>
  </si>
  <si>
    <t>RST-30848</t>
  </si>
  <si>
    <t>RST-30849</t>
  </si>
  <si>
    <t>RST-30850</t>
  </si>
  <si>
    <t>RST-30851</t>
  </si>
  <si>
    <t>RST-30852</t>
  </si>
  <si>
    <t>RST-30853</t>
  </si>
  <si>
    <t>RST-30854</t>
  </si>
  <si>
    <t>RST-30855</t>
  </si>
  <si>
    <t>RST-30856</t>
  </si>
  <si>
    <t>RST-30857</t>
  </si>
  <si>
    <t>RST-30858</t>
  </si>
  <si>
    <t>RST-30859</t>
  </si>
  <si>
    <t>RST-30860</t>
  </si>
  <si>
    <t>RST-30861</t>
  </si>
  <si>
    <t>RST-30862</t>
  </si>
  <si>
    <t>RST-30863</t>
  </si>
  <si>
    <t>RST-30864</t>
  </si>
  <si>
    <t>RST-30865</t>
  </si>
  <si>
    <t>RST-30866</t>
  </si>
  <si>
    <t>RST-30867</t>
  </si>
  <si>
    <t>RST-30868</t>
  </si>
  <si>
    <t>RST-30869</t>
  </si>
  <si>
    <t>RST-30870</t>
  </si>
  <si>
    <t>RST-30871</t>
  </si>
  <si>
    <t>RST-30872</t>
  </si>
  <si>
    <t>RST-30873</t>
  </si>
  <si>
    <t>RST-30874</t>
  </si>
  <si>
    <t>RST-30875</t>
  </si>
  <si>
    <t>RST-30876</t>
  </si>
  <si>
    <t>RST-30877</t>
  </si>
  <si>
    <t>RST-30878</t>
  </si>
  <si>
    <t>RST-30879</t>
  </si>
  <si>
    <t>RST-30880</t>
  </si>
  <si>
    <t>RST-30881</t>
  </si>
  <si>
    <t>RST-30882</t>
  </si>
  <si>
    <t>RST-30883</t>
  </si>
  <si>
    <t>RST-30884</t>
  </si>
  <si>
    <t>RST-30885</t>
  </si>
  <si>
    <t>RST-30886</t>
  </si>
  <si>
    <t>RST-30887</t>
  </si>
  <si>
    <t>RST-30888</t>
  </si>
  <si>
    <t>RST-30889</t>
  </si>
  <si>
    <t>RST-30890</t>
  </si>
  <si>
    <t>RST-30891</t>
  </si>
  <si>
    <t>RST-30892</t>
  </si>
  <si>
    <t>RST-30893</t>
  </si>
  <si>
    <t>RST-30894</t>
  </si>
  <si>
    <t>RST-30895</t>
  </si>
  <si>
    <t>RST-30896</t>
  </si>
  <si>
    <t>RST-30897</t>
  </si>
  <si>
    <t>RST-30898</t>
  </si>
  <si>
    <t>RST-30899</t>
  </si>
  <si>
    <t>RST-30900</t>
  </si>
  <si>
    <t>RST-30901</t>
  </si>
  <si>
    <t>RST-30902</t>
  </si>
  <si>
    <t>RST-30903</t>
  </si>
  <si>
    <t>RST-30904</t>
  </si>
  <si>
    <t>RST-30905</t>
  </si>
  <si>
    <t>RST-30906</t>
  </si>
  <si>
    <t>RST-30907</t>
  </si>
  <si>
    <t>RST-30908</t>
  </si>
  <si>
    <t>RST-30909</t>
  </si>
  <si>
    <t>RST-30910</t>
  </si>
  <si>
    <t>RST-30911</t>
  </si>
  <si>
    <t>RST-30912</t>
  </si>
  <si>
    <t>RST-30913</t>
  </si>
  <si>
    <t>RST-30914</t>
  </si>
  <si>
    <t>RST-30915</t>
  </si>
  <si>
    <t>RST-30916</t>
  </si>
  <si>
    <t>RST-30917</t>
  </si>
  <si>
    <t>RST-30918</t>
  </si>
  <si>
    <t>RST-30919</t>
  </si>
  <si>
    <t>RST-30920</t>
  </si>
  <si>
    <t>RST-30921</t>
  </si>
  <si>
    <t>RST-30922</t>
  </si>
  <si>
    <t>RST-30923</t>
  </si>
  <si>
    <t>RST-30924</t>
  </si>
  <si>
    <t>RST-30925</t>
  </si>
  <si>
    <t>RST-30926</t>
  </si>
  <si>
    <t>RST-30927</t>
  </si>
  <si>
    <t>RST-30928</t>
  </si>
  <si>
    <t>RST-30929</t>
  </si>
  <si>
    <t>RST-30930</t>
  </si>
  <si>
    <t>RST-30931</t>
  </si>
  <si>
    <t>RST-30932</t>
  </si>
  <si>
    <t>RST-30933</t>
  </si>
  <si>
    <t>RST-30934</t>
  </si>
  <si>
    <t>RST-30935</t>
  </si>
  <si>
    <t>RST-30936</t>
  </si>
  <si>
    <t>RST-30937</t>
  </si>
  <si>
    <t>RST-30938</t>
  </si>
  <si>
    <t>RST-30939</t>
  </si>
  <si>
    <t>RST-30940</t>
  </si>
  <si>
    <t>RST-30941</t>
  </si>
  <si>
    <t>RST-30942</t>
  </si>
  <si>
    <t>RST-30943</t>
  </si>
  <si>
    <t>RST-30944</t>
  </si>
  <si>
    <t>RST-30945</t>
  </si>
  <si>
    <t>RST-30946</t>
  </si>
  <si>
    <t>RST-30947</t>
  </si>
  <si>
    <t>RST-30948</t>
  </si>
  <si>
    <t>RST-30949</t>
  </si>
  <si>
    <t>RST-30950</t>
  </si>
  <si>
    <t>RST-30951</t>
  </si>
  <si>
    <t>RST-30952</t>
  </si>
  <si>
    <t>RST-30953</t>
  </si>
  <si>
    <t>RST-30954</t>
  </si>
  <si>
    <t>RST-30955</t>
  </si>
  <si>
    <t>RST-30956</t>
  </si>
  <si>
    <t>RST-30957</t>
  </si>
  <si>
    <t>RST-30958</t>
  </si>
  <si>
    <t>RST-30959</t>
  </si>
  <si>
    <t>RST-30960</t>
  </si>
  <si>
    <t>RST-30961</t>
  </si>
  <si>
    <t>RST-30962</t>
  </si>
  <si>
    <t>RST-30963</t>
  </si>
  <si>
    <t>RST-30964</t>
  </si>
  <si>
    <t>RST-30965</t>
  </si>
  <si>
    <t>RST-30966</t>
  </si>
  <si>
    <t>RST-30967</t>
  </si>
  <si>
    <t>RST-30968</t>
  </si>
  <si>
    <t>RST-30969</t>
  </si>
  <si>
    <t>RST-30970</t>
  </si>
  <si>
    <t>RST-30971</t>
  </si>
  <si>
    <t>RST-30972</t>
  </si>
  <si>
    <t>RST-30973</t>
  </si>
  <si>
    <t>RST-30974</t>
  </si>
  <si>
    <t>RST-30975</t>
  </si>
  <si>
    <t>RST-30976</t>
  </si>
  <si>
    <t>RST-30977</t>
  </si>
  <si>
    <t>RST-30978</t>
  </si>
  <si>
    <t>RST-30979</t>
  </si>
  <si>
    <t>RST-30980</t>
  </si>
  <si>
    <t>RST-30981</t>
  </si>
  <si>
    <t>RST-30982</t>
  </si>
  <si>
    <t>RST-30983</t>
  </si>
  <si>
    <t>RST-30984</t>
  </si>
  <si>
    <t>RST-30985</t>
  </si>
  <si>
    <t>RST-30986</t>
  </si>
  <si>
    <t>RST-30987</t>
  </si>
  <si>
    <t>RST-30988</t>
  </si>
  <si>
    <t>RST-30989</t>
  </si>
  <si>
    <t>RST-30990</t>
  </si>
  <si>
    <t>RST-30991</t>
  </si>
  <si>
    <t>RST-30992</t>
  </si>
  <si>
    <t>RST-30993</t>
  </si>
  <si>
    <t>RST-30994</t>
  </si>
  <si>
    <t>RST-30995</t>
  </si>
  <si>
    <t>RST-30996</t>
  </si>
  <si>
    <t>RST-30997</t>
  </si>
  <si>
    <t>RST-30998</t>
  </si>
  <si>
    <t>RST-30999</t>
  </si>
  <si>
    <t>RST-31000</t>
  </si>
  <si>
    <t>month</t>
  </si>
  <si>
    <t>year</t>
  </si>
  <si>
    <t>Rating type</t>
  </si>
  <si>
    <t>Sum of Order Total</t>
  </si>
  <si>
    <t>Row Labels</t>
  </si>
  <si>
    <t>(All)</t>
  </si>
  <si>
    <t>2024</t>
  </si>
  <si>
    <t>Column Labels</t>
  </si>
  <si>
    <t>Jan</t>
  </si>
  <si>
    <t>Feb</t>
  </si>
  <si>
    <t>Mar</t>
  </si>
  <si>
    <t>Apr</t>
  </si>
  <si>
    <t>May</t>
  </si>
  <si>
    <t>Jun</t>
  </si>
  <si>
    <t>Jul</t>
  </si>
  <si>
    <t>Aug</t>
  </si>
  <si>
    <t>Sep</t>
  </si>
  <si>
    <t>Oct</t>
  </si>
  <si>
    <t>Nov</t>
  </si>
  <si>
    <t>Dec</t>
  </si>
  <si>
    <t>2025</t>
  </si>
  <si>
    <t>Sum of Quantity</t>
  </si>
  <si>
    <t>Count of Quantity</t>
  </si>
  <si>
    <t>Average of Customer Rating</t>
  </si>
  <si>
    <t xml:space="preserve">                         </t>
  </si>
  <si>
    <t xml:space="preserve">                                                            </t>
  </si>
  <si>
    <t xml:space="preserve">  Which menu item generates the highest total revenue?</t>
  </si>
  <si>
    <t>Good</t>
  </si>
  <si>
    <t>Average</t>
  </si>
  <si>
    <t xml:space="preserve">                                                                                                                                                                                                                                                               </t>
  </si>
  <si>
    <t xml:space="preserve">                   </t>
  </si>
  <si>
    <t xml:space="preserve">                                                                                                                                                                                                                                                                                                                                                                                                                                                                                                                                                        </t>
  </si>
  <si>
    <t>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</si>
</sst>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14009]dd/mm/yyyy;@"/>
    <numFmt numFmtId="166" formatCode="_-[$$-409]* #,##0_ ;_-[$$-409]* \-#,##0\ ;_-[$$-409]* &quot;-&quot;??_ ;_-@_ "/>
    <numFmt numFmtId="167" formatCode="_-[$$-409]* #,##0.00_ ;_-[$$-409]* \-#,##0.00\ ;_-[$$-409]* &quot;-&quot;??_ ;_-@_ "/>
  </numFmts>
  <fonts count="6" x14ac:knownFonts="1">
    <font>
      <sz val="11"/>
      <color theme="1"/>
      <name val="Aptos Narrow"/>
      <family val="2"/>
      <scheme val="minor"/>
    </font>
    <font>
      <b/>
      <sz val="11"/>
      <color rgb="FFFFFFFF"/>
      <name val="Aptos Narrow"/>
      <family val="2"/>
      <scheme val="minor"/>
    </font>
    <font>
      <b/>
      <sz val="11"/>
      <color rgb="FFFFFFFF"/>
      <name val="Aptos Narrow"/>
      <scheme val="minor"/>
    </font>
    <font>
      <sz val="11"/>
      <color theme="1"/>
      <name val="Times New Roman"/>
    </font>
    <font>
      <b/>
      <sz val="11"/>
      <color theme="1"/>
      <name val="Aptos Narrow"/>
      <family val="2"/>
      <scheme val="minor"/>
    </font>
    <font>
      <sz val="8"/>
      <name val="Aptos Narrow"/>
      <family val="2"/>
      <scheme val="minor"/>
    </font>
  </fonts>
  <fills count="10">
    <fill>
      <patternFill patternType="none"/>
    </fill>
    <fill>
      <patternFill patternType="gray125"/>
    </fill>
    <fill>
      <patternFill patternType="solid">
        <fgColor rgb="FF4472C4"/>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7" tint="0.79998168889431442"/>
        <bgColor theme="7" tint="0.79998168889431442"/>
      </patternFill>
    </fill>
    <fill>
      <patternFill patternType="solid">
        <fgColor theme="9" tint="0.59999389629810485"/>
        <bgColor indexed="64"/>
      </patternFill>
    </fill>
  </fills>
  <borders count="5">
    <border>
      <left/>
      <right/>
      <top/>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theme="7" tint="0.39997558519241921"/>
      </left>
      <right/>
      <top style="thin">
        <color theme="7" tint="0.39997558519241921"/>
      </top>
      <bottom style="thin">
        <color theme="7" tint="0.39997558519241921"/>
      </bottom>
      <diagonal/>
    </border>
    <border>
      <left/>
      <right/>
      <top/>
      <bottom style="thin">
        <color theme="4" tint="0.39997558519241921"/>
      </bottom>
      <diagonal/>
    </border>
  </borders>
  <cellStyleXfs count="1">
    <xf numFmtId="0" fontId="0" fillId="0" borderId="0"/>
  </cellStyleXfs>
  <cellXfs count="37">
    <xf numFmtId="0" fontId="0" fillId="0" borderId="0" xfId="0"/>
    <xf numFmtId="0" fontId="1" fillId="2" borderId="0" xfId="0" applyFont="1" applyFill="1" applyAlignment="1">
      <alignment horizontal="center"/>
    </xf>
    <xf numFmtId="164" fontId="0" fillId="0" borderId="0" xfId="0" applyNumberFormat="1"/>
    <xf numFmtId="165" fontId="1" fillId="2" borderId="0" xfId="0" applyNumberFormat="1" applyFont="1" applyFill="1" applyAlignment="1">
      <alignment horizontal="center"/>
    </xf>
    <xf numFmtId="165" fontId="0" fillId="0" borderId="0" xfId="0" applyNumberFormat="1"/>
    <xf numFmtId="0" fontId="2" fillId="2" borderId="0" xfId="0" applyFont="1" applyFill="1" applyAlignment="1">
      <alignment horizontal="center"/>
    </xf>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10" fontId="0" fillId="0" borderId="0" xfId="0" applyNumberFormat="1"/>
    <xf numFmtId="0" fontId="1" fillId="2" borderId="1" xfId="0" applyFont="1" applyFill="1" applyBorder="1" applyAlignment="1">
      <alignment horizontal="center"/>
    </xf>
    <xf numFmtId="0" fontId="1" fillId="2" borderId="2" xfId="0" applyFont="1" applyFill="1" applyBorder="1" applyAlignment="1">
      <alignment horizontal="center"/>
    </xf>
    <xf numFmtId="165" fontId="1" fillId="2" borderId="1" xfId="0" applyNumberFormat="1" applyFont="1" applyFill="1" applyBorder="1" applyAlignment="1">
      <alignment horizontal="center"/>
    </xf>
    <xf numFmtId="0" fontId="1" fillId="2" borderId="3" xfId="0" applyFont="1" applyFill="1" applyBorder="1" applyAlignment="1">
      <alignment horizontal="center"/>
    </xf>
    <xf numFmtId="14" fontId="0" fillId="0" borderId="0" xfId="0" applyNumberFormat="1" applyAlignment="1">
      <alignment horizontal="left"/>
    </xf>
    <xf numFmtId="167" fontId="0" fillId="0" borderId="0" xfId="0" applyNumberFormat="1" applyAlignment="1">
      <alignment horizontal="left"/>
    </xf>
    <xf numFmtId="10" fontId="0" fillId="5" borderId="0" xfId="0" applyNumberFormat="1" applyFill="1"/>
    <xf numFmtId="14" fontId="0" fillId="0" borderId="0" xfId="0" applyNumberFormat="1"/>
    <xf numFmtId="0" fontId="0" fillId="5" borderId="0" xfId="0" applyFill="1" applyAlignment="1">
      <alignment horizontal="left"/>
    </xf>
    <xf numFmtId="2" fontId="0" fillId="5" borderId="0" xfId="0" applyNumberFormat="1" applyFill="1"/>
    <xf numFmtId="166" fontId="0" fillId="5" borderId="0" xfId="0" applyNumberFormat="1" applyFill="1"/>
    <xf numFmtId="166" fontId="0" fillId="3" borderId="0" xfId="0" applyNumberFormat="1" applyFill="1"/>
    <xf numFmtId="0" fontId="3" fillId="0" borderId="0" xfId="0" pivotButton="1" applyFont="1"/>
    <xf numFmtId="0" fontId="3" fillId="0" borderId="0" xfId="0" applyFont="1"/>
    <xf numFmtId="0" fontId="3" fillId="0" borderId="0" xfId="0" applyFont="1" applyAlignment="1">
      <alignment horizontal="left"/>
    </xf>
    <xf numFmtId="166" fontId="3" fillId="0" borderId="0" xfId="0" applyNumberFormat="1" applyFont="1"/>
    <xf numFmtId="0" fontId="4" fillId="7" borderId="4" xfId="0" applyFont="1" applyFill="1" applyBorder="1"/>
    <xf numFmtId="0" fontId="4" fillId="0" borderId="4" xfId="0" applyFont="1" applyBorder="1" applyAlignment="1">
      <alignment horizontal="left"/>
    </xf>
    <xf numFmtId="0" fontId="0" fillId="8" borderId="1" xfId="0" applyFill="1" applyBorder="1"/>
    <xf numFmtId="0" fontId="0" fillId="4" borderId="0" xfId="0" applyFill="1"/>
    <xf numFmtId="0" fontId="0" fillId="3" borderId="0" xfId="0" applyFill="1"/>
    <xf numFmtId="0" fontId="0" fillId="5" borderId="0" xfId="0" applyFill="1"/>
    <xf numFmtId="0" fontId="3" fillId="5" borderId="0" xfId="0" applyFont="1" applyFill="1"/>
    <xf numFmtId="0" fontId="3" fillId="3" borderId="0" xfId="0" applyFont="1" applyFill="1"/>
    <xf numFmtId="0" fontId="0" fillId="6" borderId="0" xfId="0" applyFill="1" applyAlignment="1">
      <alignment horizontal="center"/>
    </xf>
    <xf numFmtId="0" fontId="0" fillId="9" borderId="0" xfId="0" applyFill="1" applyAlignment="1">
      <alignment horizontal="center"/>
    </xf>
  </cellXfs>
  <cellStyles count="1">
    <cellStyle name="Normal" xfId="0" builtinId="0"/>
  </cellStyles>
  <dxfs count="47">
    <dxf>
      <numFmt numFmtId="166" formatCode="_-[$$-409]* #,##0_ ;_-[$$-409]* \-#,##0\ ;_-[$$-409]* &quot;-&quot;??_ ;_-@_ "/>
    </dxf>
    <dxf>
      <fill>
        <patternFill patternType="solid">
          <bgColor theme="5" tint="0.59999389629810485"/>
        </patternFill>
      </fill>
    </dxf>
    <dxf>
      <fill>
        <patternFill patternType="solid">
          <bgColor theme="4" tint="0.79998168889431442"/>
        </patternFill>
      </fill>
    </dxf>
    <dxf>
      <fill>
        <patternFill>
          <bgColor theme="5" tint="0.59999389629810485"/>
        </patternFill>
      </fill>
    </dxf>
    <dxf>
      <fill>
        <patternFill patternType="solid">
          <bgColor theme="4" tint="0.79998168889431442"/>
        </patternFill>
      </fill>
    </dxf>
    <dxf>
      <fill>
        <patternFill patternType="solid">
          <bgColor theme="4" tint="0.79998168889431442"/>
        </patternFill>
      </fill>
    </dxf>
    <dxf>
      <numFmt numFmtId="0" formatCode="General"/>
    </dxf>
    <dxf>
      <numFmt numFmtId="164" formatCode="&quot;$&quot;#,##0.00"/>
    </dxf>
    <dxf>
      <numFmt numFmtId="164" formatCode="&quot;$&quot;#,##0.00"/>
    </dxf>
    <dxf>
      <numFmt numFmtId="165" formatCode="[$-14009]dd/mm/yyyy;@"/>
    </dxf>
    <dxf>
      <numFmt numFmtId="165" formatCode="[$-14009]dd/mm/yyyy;@"/>
    </dxf>
    <dxf>
      <numFmt numFmtId="165" formatCode="[$-14009]dd/mm/yyyy;@"/>
    </dxf>
    <dxf>
      <font>
        <b/>
        <i val="0"/>
        <strike val="0"/>
        <condense val="0"/>
        <extend val="0"/>
        <outline val="0"/>
        <shadow val="0"/>
        <u val="none"/>
        <vertAlign val="baseline"/>
        <sz val="11"/>
        <color rgb="FFFFFFFF"/>
        <name val="Aptos Narrow"/>
        <scheme val="minor"/>
      </font>
      <fill>
        <patternFill patternType="solid">
          <fgColor indexed="64"/>
          <bgColor rgb="FF4472C4"/>
        </patternFill>
      </fill>
      <alignment horizontal="center" vertical="bottom" textRotation="0" wrapText="0" indent="0" justifyLastLine="0" shrinkToFit="0" readingOrder="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5" tint="0.79998168889431442"/>
        </patternFill>
      </fill>
    </dxf>
    <dxf>
      <numFmt numFmtId="19" formatCode="dd/mm/yyyy"/>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none">
          <bgColor auto="1"/>
        </patternFill>
      </fill>
    </dxf>
    <dxf>
      <fill>
        <patternFill patternType="none">
          <bgColor auto="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5" tint="0.59999389629810485"/>
        </patternFill>
      </fill>
    </dxf>
    <dxf>
      <fill>
        <patternFill>
          <bgColor theme="5" tint="0.59999389629810485"/>
        </patternFill>
      </fill>
    </dxf>
    <dxf>
      <fill>
        <patternFill patternType="solid">
          <bgColor theme="7" tint="0.59999389629810485"/>
        </patternFill>
      </fill>
    </dxf>
    <dxf>
      <numFmt numFmtId="14" formatCode="0.00%"/>
    </dxf>
    <dxf>
      <numFmt numFmtId="166" formatCode="_-[$$-409]* #,##0_ ;_-[$$-409]* \-#,##0\ ;_-[$$-409]* &quot;-&quot;??_ ;_-@_ "/>
    </dxf>
    <dxf>
      <numFmt numFmtId="166" formatCode="_-[$$-409]* #,##0_ ;_-[$$-409]* \-#,##0\ ;_-[$$-409]* &quot;-&quot;??_ ;_-@_ "/>
    </dxf>
    <dxf>
      <fill>
        <patternFill patternType="solid">
          <bgColor theme="4" tint="0.79998168889431442"/>
        </patternFill>
      </fill>
    </dxf>
    <dxf>
      <fill>
        <patternFill patternType="solid">
          <bgColor theme="5" tint="0.59999389629810485"/>
        </patternFill>
      </fill>
    </dxf>
    <dxf>
      <fill>
        <patternFill patternType="solid">
          <bgColor theme="4" tint="0.79998168889431442"/>
        </patternFill>
      </fill>
    </dxf>
    <dxf>
      <fill>
        <patternFill patternType="solid">
          <bgColor theme="5" tint="0.59999389629810485"/>
        </patternFill>
      </fill>
    </dxf>
    <dxf>
      <fill>
        <patternFill patternType="solid">
          <bgColor theme="4" tint="0.79998168889431442"/>
        </patternFill>
      </fill>
    </dxf>
    <dxf>
      <fill>
        <patternFill patternType="solid">
          <bgColor theme="5" tint="0.59999389629810485"/>
        </patternFill>
      </fill>
    </dxf>
    <dxf>
      <numFmt numFmtId="0" formatCode="General"/>
    </dxf>
    <dxf>
      <numFmt numFmtId="166" formatCode="_-[$$-409]* #,##0_ ;_-[$$-409]* \-#,##0\ ;_-[$$-409]* &quot;-&quot;??_ ;_-@_ "/>
    </dxf>
    <dxf>
      <font>
        <name val="Times New Roman"/>
        <scheme val="none"/>
      </font>
    </dxf>
    <dxf>
      <numFmt numFmtId="168" formatCode="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0"/>
    </mc:Choice>
    <mc:Fallback>
      <c:style val="20"/>
    </mc:Fallback>
  </mc:AlternateContent>
  <c:pivotSource>
    <c:name>[04 Restaurant Sales.xlsx]Sheet1!PivotTable1</c:name>
    <c:fmtId val="1"/>
  </c:pivotSource>
  <c:chart>
    <c:title>
      <c:tx>
        <c:rich>
          <a:bodyPr/>
          <a:lstStyle/>
          <a:p>
            <a:pPr>
              <a:defRPr/>
            </a:pPr>
            <a:r>
              <a:rPr lang="en-US" sz="1600"/>
              <a:t>Location</a:t>
            </a:r>
            <a:r>
              <a:rPr lang="en-US" sz="1600" baseline="0"/>
              <a:t> wise no. of orders</a:t>
            </a:r>
            <a:endParaRPr lang="en-US" sz="1600"/>
          </a:p>
        </c:rich>
      </c:tx>
      <c:overlay val="0"/>
    </c:title>
    <c:autoTitleDeleted val="0"/>
    <c:pivotFmts>
      <c:pivotFmt>
        <c:idx val="0"/>
        <c:marker>
          <c:symbol val="none"/>
        </c:marker>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234951881014873"/>
          <c:y val="0.16163265306122451"/>
          <c:w val="0.77629636920384948"/>
          <c:h val="0.45707429428464297"/>
        </c:manualLayout>
      </c:layout>
      <c:barChart>
        <c:barDir val="col"/>
        <c:grouping val="clustered"/>
        <c:varyColors val="0"/>
        <c:ser>
          <c:idx val="0"/>
          <c:order val="0"/>
          <c:tx>
            <c:strRef>
              <c:f>Sheet1!$B$3</c:f>
              <c:strCache>
                <c:ptCount val="1"/>
                <c:pt idx="0">
                  <c:v>Total</c:v>
                </c:pt>
              </c:strCache>
            </c:strRef>
          </c:tx>
          <c:invertIfNegative val="0"/>
          <c:cat>
            <c:strRef>
              <c:f>Sheet1!$A$4:$A$13</c:f>
              <c:strCache>
                <c:ptCount val="10"/>
                <c:pt idx="0">
                  <c:v>Downtown Manhattan</c:v>
                </c:pt>
                <c:pt idx="1">
                  <c:v>Coral Gables</c:v>
                </c:pt>
                <c:pt idx="2">
                  <c:v>Austin South Congress</c:v>
                </c:pt>
                <c:pt idx="3">
                  <c:v>Chicago Loop</c:v>
                </c:pt>
                <c:pt idx="4">
                  <c:v>Brooklyn Heights</c:v>
                </c:pt>
                <c:pt idx="5">
                  <c:v>Miami Beach</c:v>
                </c:pt>
                <c:pt idx="6">
                  <c:v>Lincoln Park</c:v>
                </c:pt>
                <c:pt idx="7">
                  <c:v>Midtown East</c:v>
                </c:pt>
                <c:pt idx="8">
                  <c:v>Austin Downtown</c:v>
                </c:pt>
                <c:pt idx="9">
                  <c:v>Upper West Side</c:v>
                </c:pt>
              </c:strCache>
            </c:strRef>
          </c:cat>
          <c:val>
            <c:numRef>
              <c:f>Sheet1!$B$4:$B$13</c:f>
              <c:numCache>
                <c:formatCode>General</c:formatCode>
                <c:ptCount val="10"/>
                <c:pt idx="0">
                  <c:v>138</c:v>
                </c:pt>
                <c:pt idx="1">
                  <c:v>117</c:v>
                </c:pt>
                <c:pt idx="2">
                  <c:v>114</c:v>
                </c:pt>
                <c:pt idx="3">
                  <c:v>102</c:v>
                </c:pt>
                <c:pt idx="4">
                  <c:v>100</c:v>
                </c:pt>
                <c:pt idx="5">
                  <c:v>91</c:v>
                </c:pt>
                <c:pt idx="6">
                  <c:v>90</c:v>
                </c:pt>
                <c:pt idx="7">
                  <c:v>86</c:v>
                </c:pt>
                <c:pt idx="8">
                  <c:v>84</c:v>
                </c:pt>
                <c:pt idx="9">
                  <c:v>78</c:v>
                </c:pt>
              </c:numCache>
            </c:numRef>
          </c:val>
          <c:extLst>
            <c:ext xmlns:c16="http://schemas.microsoft.com/office/drawing/2014/chart" uri="{C3380CC4-5D6E-409C-BE32-E72D297353CC}">
              <c16:uniqueId val="{00000000-ED90-481F-AF4C-0E43063A236C}"/>
            </c:ext>
          </c:extLst>
        </c:ser>
        <c:dLbls>
          <c:showLegendKey val="0"/>
          <c:showVal val="0"/>
          <c:showCatName val="0"/>
          <c:showSerName val="0"/>
          <c:showPercent val="0"/>
          <c:showBubbleSize val="0"/>
        </c:dLbls>
        <c:gapWidth val="150"/>
        <c:axId val="217575424"/>
        <c:axId val="217576960"/>
      </c:barChart>
      <c:catAx>
        <c:axId val="217575424"/>
        <c:scaling>
          <c:orientation val="minMax"/>
        </c:scaling>
        <c:delete val="0"/>
        <c:axPos val="b"/>
        <c:numFmt formatCode="General" sourceLinked="0"/>
        <c:majorTickMark val="out"/>
        <c:minorTickMark val="none"/>
        <c:tickLblPos val="nextTo"/>
        <c:crossAx val="217576960"/>
        <c:crosses val="autoZero"/>
        <c:auto val="1"/>
        <c:lblAlgn val="ctr"/>
        <c:lblOffset val="100"/>
        <c:noMultiLvlLbl val="0"/>
      </c:catAx>
      <c:valAx>
        <c:axId val="217576960"/>
        <c:scaling>
          <c:orientation val="minMax"/>
        </c:scaling>
        <c:delete val="0"/>
        <c:axPos val="l"/>
        <c:numFmt formatCode="General" sourceLinked="1"/>
        <c:majorTickMark val="out"/>
        <c:minorTickMark val="none"/>
        <c:tickLblPos val="nextTo"/>
        <c:crossAx val="2175754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[04 Restaurant Sales.xlsx]Sheet2!PivotTable2</c:name>
    <c:fmtId val="0"/>
  </c:pivotSource>
  <c:chart>
    <c:title>
      <c:tx>
        <c:rich>
          <a:bodyPr/>
          <a:lstStyle/>
          <a:p>
            <a:pPr>
              <a:defRPr/>
            </a:pPr>
            <a:r>
              <a:rPr lang="en-IN" sz="1600"/>
              <a:t>No. of Orders Months wise</a:t>
            </a:r>
          </a:p>
        </c:rich>
      </c:tx>
      <c:overlay val="1"/>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pivotFmt>
    </c:pivotFmts>
    <c:plotArea>
      <c:layout>
        <c:manualLayout>
          <c:layoutTarget val="inner"/>
          <c:xMode val="edge"/>
          <c:yMode val="edge"/>
          <c:x val="9.4432852143482071E-2"/>
          <c:y val="0.18055555555555555"/>
          <c:w val="0.73651859142607179"/>
          <c:h val="0.70966790609507158"/>
        </c:manualLayout>
      </c:layout>
      <c:barChart>
        <c:barDir val="col"/>
        <c:grouping val="clustered"/>
        <c:varyColors val="0"/>
        <c:ser>
          <c:idx val="0"/>
          <c:order val="0"/>
          <c:tx>
            <c:strRef>
              <c:f>Sheet2!$B$3:$B$4</c:f>
              <c:strCache>
                <c:ptCount val="1"/>
                <c:pt idx="0">
                  <c:v>2024</c:v>
                </c:pt>
              </c:strCache>
            </c:strRef>
          </c:tx>
          <c:invertIfNegative val="0"/>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Sheet2!$B$5:$B$16</c:f>
              <c:numCache>
                <c:formatCode>General</c:formatCode>
                <c:ptCount val="12"/>
                <c:pt idx="0">
                  <c:v>42</c:v>
                </c:pt>
                <c:pt idx="1">
                  <c:v>32</c:v>
                </c:pt>
                <c:pt idx="2">
                  <c:v>46</c:v>
                </c:pt>
                <c:pt idx="3">
                  <c:v>44</c:v>
                </c:pt>
                <c:pt idx="4">
                  <c:v>46</c:v>
                </c:pt>
                <c:pt idx="5">
                  <c:v>51</c:v>
                </c:pt>
                <c:pt idx="6">
                  <c:v>40</c:v>
                </c:pt>
                <c:pt idx="7">
                  <c:v>34</c:v>
                </c:pt>
                <c:pt idx="8">
                  <c:v>46</c:v>
                </c:pt>
                <c:pt idx="9">
                  <c:v>45</c:v>
                </c:pt>
                <c:pt idx="10">
                  <c:v>46</c:v>
                </c:pt>
                <c:pt idx="11">
                  <c:v>43</c:v>
                </c:pt>
              </c:numCache>
            </c:numRef>
          </c:val>
          <c:extLst>
            <c:ext xmlns:c16="http://schemas.microsoft.com/office/drawing/2014/chart" uri="{C3380CC4-5D6E-409C-BE32-E72D297353CC}">
              <c16:uniqueId val="{00000000-EE35-4ADD-9762-90C9E55317FA}"/>
            </c:ext>
          </c:extLst>
        </c:ser>
        <c:ser>
          <c:idx val="1"/>
          <c:order val="1"/>
          <c:tx>
            <c:strRef>
              <c:f>Sheet2!$C$3:$C$4</c:f>
              <c:strCache>
                <c:ptCount val="1"/>
                <c:pt idx="0">
                  <c:v>2025</c:v>
                </c:pt>
              </c:strCache>
            </c:strRef>
          </c:tx>
          <c:invertIfNegative val="0"/>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Sheet2!$C$5:$C$16</c:f>
              <c:numCache>
                <c:formatCode>General</c:formatCode>
                <c:ptCount val="12"/>
                <c:pt idx="0">
                  <c:v>41</c:v>
                </c:pt>
                <c:pt idx="1">
                  <c:v>38</c:v>
                </c:pt>
                <c:pt idx="2">
                  <c:v>36</c:v>
                </c:pt>
                <c:pt idx="3">
                  <c:v>39</c:v>
                </c:pt>
                <c:pt idx="4">
                  <c:v>41</c:v>
                </c:pt>
                <c:pt idx="5">
                  <c:v>37</c:v>
                </c:pt>
                <c:pt idx="6">
                  <c:v>31</c:v>
                </c:pt>
                <c:pt idx="7">
                  <c:v>41</c:v>
                </c:pt>
                <c:pt idx="8">
                  <c:v>51</c:v>
                </c:pt>
                <c:pt idx="9">
                  <c:v>58</c:v>
                </c:pt>
                <c:pt idx="10">
                  <c:v>41</c:v>
                </c:pt>
                <c:pt idx="11">
                  <c:v>31</c:v>
                </c:pt>
              </c:numCache>
            </c:numRef>
          </c:val>
          <c:extLst>
            <c:ext xmlns:c16="http://schemas.microsoft.com/office/drawing/2014/chart" uri="{C3380CC4-5D6E-409C-BE32-E72D297353CC}">
              <c16:uniqueId val="{00000001-EE35-4ADD-9762-90C9E55317FA}"/>
            </c:ext>
          </c:extLst>
        </c:ser>
        <c:dLbls>
          <c:showLegendKey val="0"/>
          <c:showVal val="0"/>
          <c:showCatName val="0"/>
          <c:showSerName val="0"/>
          <c:showPercent val="0"/>
          <c:showBubbleSize val="0"/>
        </c:dLbls>
        <c:gapWidth val="150"/>
        <c:axId val="217801472"/>
        <c:axId val="217779200"/>
      </c:barChart>
      <c:valAx>
        <c:axId val="217779200"/>
        <c:scaling>
          <c:orientation val="minMax"/>
        </c:scaling>
        <c:delete val="0"/>
        <c:axPos val="l"/>
        <c:majorGridlines/>
        <c:numFmt formatCode="General" sourceLinked="1"/>
        <c:majorTickMark val="out"/>
        <c:minorTickMark val="none"/>
        <c:tickLblPos val="nextTo"/>
        <c:crossAx val="217801472"/>
        <c:crosses val="autoZero"/>
        <c:crossBetween val="between"/>
      </c:valAx>
      <c:catAx>
        <c:axId val="217801472"/>
        <c:scaling>
          <c:orientation val="minMax"/>
        </c:scaling>
        <c:delete val="0"/>
        <c:axPos val="b"/>
        <c:numFmt formatCode="General" sourceLinked="0"/>
        <c:majorTickMark val="out"/>
        <c:minorTickMark val="none"/>
        <c:tickLblPos val="nextTo"/>
        <c:crossAx val="217779200"/>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[04 Restaurant Sales.xlsx]Sheet3!PivotTable3</c:name>
    <c:fmtId val="0"/>
  </c:pivotSource>
  <c:chart>
    <c:title>
      <c:tx>
        <c:rich>
          <a:bodyPr/>
          <a:lstStyle/>
          <a:p>
            <a:pPr>
              <a:defRPr/>
            </a:pPr>
            <a:r>
              <a:rPr lang="en-US" sz="1600"/>
              <a:t>Category</a:t>
            </a:r>
            <a:r>
              <a:rPr lang="en-US" sz="1600" baseline="0"/>
              <a:t> wise sale</a:t>
            </a:r>
            <a:endParaRPr lang="en-US" sz="1600"/>
          </a:p>
        </c:rich>
      </c:tx>
      <c:layout>
        <c:manualLayout>
          <c:xMode val="edge"/>
          <c:yMode val="edge"/>
          <c:x val="0.27212489063867018"/>
          <c:y val="3.2407407407407406E-2"/>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Lbls>
            <c:spPr/>
            <c:txPr>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Sheet3!$A$4:$A$7</c:f>
              <c:strCache>
                <c:ptCount val="4"/>
                <c:pt idx="0">
                  <c:v>Main</c:v>
                </c:pt>
                <c:pt idx="1">
                  <c:v>Appetizer</c:v>
                </c:pt>
                <c:pt idx="2">
                  <c:v>Dessert</c:v>
                </c:pt>
                <c:pt idx="3">
                  <c:v>Beverage</c:v>
                </c:pt>
              </c:strCache>
            </c:strRef>
          </c:cat>
          <c:val>
            <c:numRef>
              <c:f>Sheet3!$B$4:$B$7</c:f>
              <c:numCache>
                <c:formatCode>0.00%</c:formatCode>
                <c:ptCount val="4"/>
                <c:pt idx="0">
                  <c:v>0.66380639897362059</c:v>
                </c:pt>
                <c:pt idx="1">
                  <c:v>0.15010513790022681</c:v>
                </c:pt>
                <c:pt idx="2">
                  <c:v>9.374502169619929E-2</c:v>
                </c:pt>
                <c:pt idx="3">
                  <c:v>9.234344142995328E-2</c:v>
                </c:pt>
              </c:numCache>
            </c:numRef>
          </c:val>
          <c:extLst>
            <c:ext xmlns:c16="http://schemas.microsoft.com/office/drawing/2014/chart" uri="{C3380CC4-5D6E-409C-BE32-E72D297353CC}">
              <c16:uniqueId val="{00000000-4C60-4EAF-84EE-7727C7427D37}"/>
            </c:ext>
          </c:extLst>
        </c:ser>
        <c:dLbls>
          <c:dLblPos val="outEnd"/>
          <c:showLegendKey val="0"/>
          <c:showVal val="1"/>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[04 Restaurant Sales.xlsx]Sheet4!PivotTable4</c:name>
    <c:fmtId val="0"/>
  </c:pivotSource>
  <c:chart>
    <c:title>
      <c:tx>
        <c:rich>
          <a:bodyPr/>
          <a:lstStyle/>
          <a:p>
            <a:pPr>
              <a:defRPr/>
            </a:pPr>
            <a:r>
              <a:rPr lang="en-US"/>
              <a:t>Category wise Avg Rating </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invertIfNegative val="0"/>
          <c:cat>
            <c:strRef>
              <c:f>Sheet4!$A$4:$A$7</c:f>
              <c:strCache>
                <c:ptCount val="4"/>
                <c:pt idx="0">
                  <c:v>Appetizer</c:v>
                </c:pt>
                <c:pt idx="1">
                  <c:v>Beverage</c:v>
                </c:pt>
                <c:pt idx="2">
                  <c:v>Dessert</c:v>
                </c:pt>
                <c:pt idx="3">
                  <c:v>Main</c:v>
                </c:pt>
              </c:strCache>
            </c:strRef>
          </c:cat>
          <c:val>
            <c:numRef>
              <c:f>Sheet4!$B$4:$B$7</c:f>
              <c:numCache>
                <c:formatCode>0.00</c:formatCode>
                <c:ptCount val="4"/>
                <c:pt idx="0">
                  <c:v>3.9842105263157896</c:v>
                </c:pt>
                <c:pt idx="1">
                  <c:v>3.9292929292929295</c:v>
                </c:pt>
                <c:pt idx="2">
                  <c:v>3.8978102189781021</c:v>
                </c:pt>
                <c:pt idx="3">
                  <c:v>3.8926315789473684</c:v>
                </c:pt>
              </c:numCache>
            </c:numRef>
          </c:val>
          <c:extLst>
            <c:ext xmlns:c16="http://schemas.microsoft.com/office/drawing/2014/chart" uri="{C3380CC4-5D6E-409C-BE32-E72D297353CC}">
              <c16:uniqueId val="{00000000-749F-4478-A7C3-4164EC0D1E78}"/>
            </c:ext>
          </c:extLst>
        </c:ser>
        <c:dLbls>
          <c:showLegendKey val="0"/>
          <c:showVal val="0"/>
          <c:showCatName val="0"/>
          <c:showSerName val="0"/>
          <c:showPercent val="0"/>
          <c:showBubbleSize val="0"/>
        </c:dLbls>
        <c:gapWidth val="150"/>
        <c:axId val="218806528"/>
        <c:axId val="218820608"/>
      </c:barChart>
      <c:catAx>
        <c:axId val="218806528"/>
        <c:scaling>
          <c:orientation val="minMax"/>
        </c:scaling>
        <c:delete val="0"/>
        <c:axPos val="b"/>
        <c:numFmt formatCode="General" sourceLinked="0"/>
        <c:majorTickMark val="out"/>
        <c:minorTickMark val="none"/>
        <c:tickLblPos val="nextTo"/>
        <c:crossAx val="218820608"/>
        <c:crosses val="autoZero"/>
        <c:auto val="1"/>
        <c:lblAlgn val="ctr"/>
        <c:lblOffset val="100"/>
        <c:noMultiLvlLbl val="0"/>
      </c:catAx>
      <c:valAx>
        <c:axId val="218820608"/>
        <c:scaling>
          <c:orientation val="minMax"/>
        </c:scaling>
        <c:delete val="0"/>
        <c:axPos val="l"/>
        <c:numFmt formatCode="0.00" sourceLinked="1"/>
        <c:majorTickMark val="out"/>
        <c:minorTickMark val="none"/>
        <c:tickLblPos val="nextTo"/>
        <c:crossAx val="2188065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[04 Restaurant Sales.xlsx]Sheet5!PivotTable5</c:name>
    <c:fmtId val="0"/>
  </c:pivotSource>
  <c:chart>
    <c:title>
      <c:tx>
        <c:rich>
          <a:bodyPr/>
          <a:lstStyle/>
          <a:p>
            <a:pPr>
              <a:defRPr/>
            </a:pPr>
            <a:r>
              <a:rPr lang="en-US" sz="1600"/>
              <a:t>Order</a:t>
            </a:r>
            <a:r>
              <a:rPr lang="en-US" sz="1600" baseline="0"/>
              <a:t> type</a:t>
            </a:r>
            <a:endParaRPr lang="en-US" sz="1600"/>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Sheet5!$A$4:$A$6</c:f>
              <c:strCache>
                <c:ptCount val="3"/>
                <c:pt idx="0">
                  <c:v>Delivery</c:v>
                </c:pt>
                <c:pt idx="1">
                  <c:v>Dine-In</c:v>
                </c:pt>
                <c:pt idx="2">
                  <c:v>Takeaway</c:v>
                </c:pt>
              </c:strCache>
            </c:strRef>
          </c:cat>
          <c:val>
            <c:numRef>
              <c:f>Sheet5!$B$4:$B$6</c:f>
              <c:numCache>
                <c:formatCode>General</c:formatCode>
                <c:ptCount val="3"/>
                <c:pt idx="0">
                  <c:v>566</c:v>
                </c:pt>
                <c:pt idx="1">
                  <c:v>736</c:v>
                </c:pt>
                <c:pt idx="2">
                  <c:v>453</c:v>
                </c:pt>
              </c:numCache>
            </c:numRef>
          </c:val>
          <c:extLst>
            <c:ext xmlns:c16="http://schemas.microsoft.com/office/drawing/2014/chart" uri="{C3380CC4-5D6E-409C-BE32-E72D297353CC}">
              <c16:uniqueId val="{00000000-6416-4508-B7C1-62EA015162B9}"/>
            </c:ext>
          </c:extLst>
        </c:ser>
        <c:dLbls>
          <c:dLblPos val="outEnd"/>
          <c:showLegendKey val="0"/>
          <c:showVal val="1"/>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Sales.xlsx]Sheet7!PivotTable1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2003499562554"/>
          <c:y val="0.15277777777777779"/>
          <c:w val="0.72622440944881883"/>
          <c:h val="0.74019320501603969"/>
        </c:manualLayout>
      </c:layout>
      <c:barChart>
        <c:barDir val="col"/>
        <c:grouping val="clustered"/>
        <c:varyColors val="0"/>
        <c:ser>
          <c:idx val="0"/>
          <c:order val="0"/>
          <c:tx>
            <c:strRef>
              <c:f>Sheet7!$B$3:$B$4</c:f>
              <c:strCache>
                <c:ptCount val="1"/>
                <c:pt idx="0">
                  <c:v>2024</c:v>
                </c:pt>
              </c:strCache>
            </c:strRef>
          </c:tx>
          <c:spPr>
            <a:solidFill>
              <a:schemeClr val="accent1"/>
            </a:solidFill>
            <a:ln>
              <a:noFill/>
            </a:ln>
            <a:effectLst/>
          </c:spPr>
          <c:invertIfNegative val="0"/>
          <c:cat>
            <c:strRef>
              <c:f>Sheet7!$A$5:$A$16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Sheet7!$B$5:$B$16</c:f>
              <c:numCache>
                <c:formatCode>_-[$$-409]* #,##0_ ;_-[$$-409]* \-#,##0\ ;_-[$$-409]* "-"??_ ;_-@_ </c:formatCode>
                <c:ptCount val="12"/>
                <c:pt idx="0">
                  <c:v>1146.1900000000005</c:v>
                </c:pt>
                <c:pt idx="1">
                  <c:v>601.57000000000028</c:v>
                </c:pt>
                <c:pt idx="2">
                  <c:v>1148.2700000000004</c:v>
                </c:pt>
                <c:pt idx="3">
                  <c:v>1151.1800000000005</c:v>
                </c:pt>
                <c:pt idx="4">
                  <c:v>1326.6500000000005</c:v>
                </c:pt>
                <c:pt idx="5">
                  <c:v>1297.1300000000006</c:v>
                </c:pt>
                <c:pt idx="6">
                  <c:v>1131.7500000000005</c:v>
                </c:pt>
                <c:pt idx="7">
                  <c:v>808.4400000000004</c:v>
                </c:pt>
                <c:pt idx="8">
                  <c:v>1291.2000000000005</c:v>
                </c:pt>
                <c:pt idx="9">
                  <c:v>1042.7200000000005</c:v>
                </c:pt>
                <c:pt idx="10">
                  <c:v>1039.2600000000004</c:v>
                </c:pt>
                <c:pt idx="11">
                  <c:v>1234.2300000000002</c:v>
                </c:pt>
              </c:numCache>
            </c:numRef>
          </c:val>
          <c:extLst>
            <c:ext xmlns:c16="http://schemas.microsoft.com/office/drawing/2014/chart" uri="{C3380CC4-5D6E-409C-BE32-E72D297353CC}">
              <c16:uniqueId val="{00000000-3B56-439C-AD94-8D39BFEB869D}"/>
            </c:ext>
          </c:extLst>
        </c:ser>
        <c:ser>
          <c:idx val="1"/>
          <c:order val="1"/>
          <c:tx>
            <c:strRef>
              <c:f>Sheet7!$C$3:$C$4</c:f>
              <c:strCache>
                <c:ptCount val="1"/>
                <c:pt idx="0">
                  <c:v>2025</c:v>
                </c:pt>
              </c:strCache>
            </c:strRef>
          </c:tx>
          <c:spPr>
            <a:solidFill>
              <a:schemeClr val="accent2"/>
            </a:solidFill>
            <a:ln>
              <a:noFill/>
            </a:ln>
            <a:effectLst/>
          </c:spPr>
          <c:invertIfNegative val="0"/>
          <c:cat>
            <c:strRef>
              <c:f>Sheet7!$A$5:$A$16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Sheet7!$C$5:$C$16</c:f>
              <c:numCache>
                <c:formatCode>_-[$$-409]* #,##0_ ;_-[$$-409]* \-#,##0\ ;_-[$$-409]* "-"??_ ;_-@_ </c:formatCode>
                <c:ptCount val="12"/>
                <c:pt idx="0">
                  <c:v>1236.2100000000005</c:v>
                </c:pt>
                <c:pt idx="1">
                  <c:v>802.39000000000021</c:v>
                </c:pt>
                <c:pt idx="2">
                  <c:v>930.84000000000037</c:v>
                </c:pt>
                <c:pt idx="3">
                  <c:v>1034.3400000000004</c:v>
                </c:pt>
                <c:pt idx="4">
                  <c:v>889.78000000000043</c:v>
                </c:pt>
                <c:pt idx="5">
                  <c:v>1094.2700000000002</c:v>
                </c:pt>
                <c:pt idx="6">
                  <c:v>723.98000000000013</c:v>
                </c:pt>
                <c:pt idx="7">
                  <c:v>1181.2500000000005</c:v>
                </c:pt>
                <c:pt idx="8">
                  <c:v>1283.9800000000005</c:v>
                </c:pt>
                <c:pt idx="9">
                  <c:v>1500.5500000000006</c:v>
                </c:pt>
                <c:pt idx="10">
                  <c:v>1083.2600000000002</c:v>
                </c:pt>
                <c:pt idx="11">
                  <c:v>820.01000000000033</c:v>
                </c:pt>
              </c:numCache>
            </c:numRef>
          </c:val>
          <c:extLst>
            <c:ext xmlns:c16="http://schemas.microsoft.com/office/drawing/2014/chart" uri="{C3380CC4-5D6E-409C-BE32-E72D297353CC}">
              <c16:uniqueId val="{00000001-658E-4E2F-8B87-27181B14116D}"/>
            </c:ext>
          </c:extLst>
        </c:ser>
        <c:dLbls>
          <c:showLegendKey val="0"/>
          <c:showVal val="0"/>
          <c:showCatName val="0"/>
          <c:showSerName val="0"/>
          <c:showPercent val="0"/>
          <c:showBubbleSize val="0"/>
        </c:dLbls>
        <c:gapWidth val="219"/>
        <c:overlap val="-27"/>
        <c:axId val="601398328"/>
        <c:axId val="601399384"/>
      </c:barChart>
      <c:catAx>
        <c:axId val="601398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9384"/>
        <c:crosses val="autoZero"/>
        <c:auto val="1"/>
        <c:lblAlgn val="ctr"/>
        <c:lblOffset val="100"/>
        <c:noMultiLvlLbl val="0"/>
      </c:catAx>
      <c:valAx>
        <c:axId val="60139938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Sales.xlsx]Sheet9!PivotTable2</c:name>
    <c:fmtId val="0"/>
  </c:pivotSource>
  <c:chart>
    <c:title>
      <c:tx>
        <c:rich>
          <a:bodyPr/>
          <a:lstStyle/>
          <a:p>
            <a:pPr>
              <a:defRPr/>
            </a:pPr>
            <a:r>
              <a:rPr lang="en-IN" sz="1400"/>
              <a:t>Region</a:t>
            </a:r>
            <a:r>
              <a:rPr lang="en-IN" sz="1400" baseline="0"/>
              <a:t>  vs Category wise orders </a:t>
            </a:r>
            <a:endParaRPr lang="en-IN" sz="1400"/>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6616189224500553E-2"/>
          <c:y val="0.18842592592592591"/>
          <c:w val="0.7679234851921205"/>
          <c:h val="0.4872101924759405"/>
        </c:manualLayout>
      </c:layout>
      <c:barChart>
        <c:barDir val="col"/>
        <c:grouping val="clustered"/>
        <c:varyColors val="0"/>
        <c:ser>
          <c:idx val="0"/>
          <c:order val="0"/>
          <c:tx>
            <c:strRef>
              <c:f>Sheet9!$B$3:$B$4</c:f>
              <c:strCache>
                <c:ptCount val="1"/>
                <c:pt idx="0">
                  <c:v>Appetizer</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Sheet9!$B$5:$B$14</c:f>
              <c:numCache>
                <c:formatCode>General</c:formatCode>
                <c:ptCount val="10"/>
                <c:pt idx="0">
                  <c:v>25</c:v>
                </c:pt>
                <c:pt idx="1">
                  <c:v>43</c:v>
                </c:pt>
                <c:pt idx="2">
                  <c:v>51</c:v>
                </c:pt>
                <c:pt idx="3">
                  <c:v>29</c:v>
                </c:pt>
                <c:pt idx="4">
                  <c:v>26</c:v>
                </c:pt>
                <c:pt idx="5">
                  <c:v>38</c:v>
                </c:pt>
                <c:pt idx="6">
                  <c:v>35</c:v>
                </c:pt>
                <c:pt idx="7">
                  <c:v>43</c:v>
                </c:pt>
                <c:pt idx="8">
                  <c:v>29</c:v>
                </c:pt>
                <c:pt idx="9">
                  <c:v>18</c:v>
                </c:pt>
              </c:numCache>
            </c:numRef>
          </c:val>
          <c:extLst>
            <c:ext xmlns:c16="http://schemas.microsoft.com/office/drawing/2014/chart" uri="{C3380CC4-5D6E-409C-BE32-E72D297353CC}">
              <c16:uniqueId val="{00000000-9ADD-4858-B73E-499C13E85D5C}"/>
            </c:ext>
          </c:extLst>
        </c:ser>
        <c:ser>
          <c:idx val="1"/>
          <c:order val="1"/>
          <c:tx>
            <c:strRef>
              <c:f>Sheet9!$C$3:$C$4</c:f>
              <c:strCache>
                <c:ptCount val="1"/>
                <c:pt idx="0">
                  <c:v>Beverage</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Sheet9!$C$5:$C$14</c:f>
              <c:numCache>
                <c:formatCode>General</c:formatCode>
                <c:ptCount val="10"/>
                <c:pt idx="0">
                  <c:v>25</c:v>
                </c:pt>
                <c:pt idx="1">
                  <c:v>40</c:v>
                </c:pt>
                <c:pt idx="2">
                  <c:v>24</c:v>
                </c:pt>
                <c:pt idx="3">
                  <c:v>49</c:v>
                </c:pt>
                <c:pt idx="4">
                  <c:v>36</c:v>
                </c:pt>
                <c:pt idx="5">
                  <c:v>61</c:v>
                </c:pt>
                <c:pt idx="6">
                  <c:v>27</c:v>
                </c:pt>
                <c:pt idx="7">
                  <c:v>16</c:v>
                </c:pt>
                <c:pt idx="8">
                  <c:v>41</c:v>
                </c:pt>
                <c:pt idx="9">
                  <c:v>40</c:v>
                </c:pt>
              </c:numCache>
            </c:numRef>
          </c:val>
          <c:extLst>
            <c:ext xmlns:c16="http://schemas.microsoft.com/office/drawing/2014/chart" uri="{C3380CC4-5D6E-409C-BE32-E72D297353CC}">
              <c16:uniqueId val="{00000001-9ADD-4858-B73E-499C13E85D5C}"/>
            </c:ext>
          </c:extLst>
        </c:ser>
        <c:ser>
          <c:idx val="2"/>
          <c:order val="2"/>
          <c:tx>
            <c:strRef>
              <c:f>Sheet9!$D$3:$D$4</c:f>
              <c:strCache>
                <c:ptCount val="1"/>
                <c:pt idx="0">
                  <c:v>Dessert</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Sheet9!$D$5:$D$14</c:f>
              <c:numCache>
                <c:formatCode>General</c:formatCode>
                <c:ptCount val="10"/>
                <c:pt idx="0">
                  <c:v>28</c:v>
                </c:pt>
                <c:pt idx="1">
                  <c:v>22</c:v>
                </c:pt>
                <c:pt idx="2">
                  <c:v>19</c:v>
                </c:pt>
                <c:pt idx="3">
                  <c:v>27</c:v>
                </c:pt>
                <c:pt idx="4">
                  <c:v>33</c:v>
                </c:pt>
                <c:pt idx="5">
                  <c:v>31</c:v>
                </c:pt>
                <c:pt idx="6">
                  <c:v>23</c:v>
                </c:pt>
                <c:pt idx="7">
                  <c:v>24</c:v>
                </c:pt>
                <c:pt idx="8">
                  <c:v>24</c:v>
                </c:pt>
                <c:pt idx="9">
                  <c:v>12</c:v>
                </c:pt>
              </c:numCache>
            </c:numRef>
          </c:val>
          <c:extLst>
            <c:ext xmlns:c16="http://schemas.microsoft.com/office/drawing/2014/chart" uri="{C3380CC4-5D6E-409C-BE32-E72D297353CC}">
              <c16:uniqueId val="{00000002-9ADD-4858-B73E-499C13E85D5C}"/>
            </c:ext>
          </c:extLst>
        </c:ser>
        <c:ser>
          <c:idx val="3"/>
          <c:order val="3"/>
          <c:tx>
            <c:strRef>
              <c:f>Sheet9!$E$3:$E$4</c:f>
              <c:strCache>
                <c:ptCount val="1"/>
                <c:pt idx="0">
                  <c:v>Main</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Sheet9!$E$5:$E$14</c:f>
              <c:numCache>
                <c:formatCode>General</c:formatCode>
                <c:ptCount val="10"/>
                <c:pt idx="0">
                  <c:v>67</c:v>
                </c:pt>
                <c:pt idx="1">
                  <c:v>85</c:v>
                </c:pt>
                <c:pt idx="2">
                  <c:v>70</c:v>
                </c:pt>
                <c:pt idx="3">
                  <c:v>71</c:v>
                </c:pt>
                <c:pt idx="4">
                  <c:v>105</c:v>
                </c:pt>
                <c:pt idx="5">
                  <c:v>120</c:v>
                </c:pt>
                <c:pt idx="6">
                  <c:v>86</c:v>
                </c:pt>
                <c:pt idx="7">
                  <c:v>81</c:v>
                </c:pt>
                <c:pt idx="8">
                  <c:v>67</c:v>
                </c:pt>
                <c:pt idx="9">
                  <c:v>64</c:v>
                </c:pt>
              </c:numCache>
            </c:numRef>
          </c:val>
          <c:extLst>
            <c:ext xmlns:c16="http://schemas.microsoft.com/office/drawing/2014/chart" uri="{C3380CC4-5D6E-409C-BE32-E72D297353CC}">
              <c16:uniqueId val="{00000003-9ADD-4858-B73E-499C13E85D5C}"/>
            </c:ext>
          </c:extLst>
        </c:ser>
        <c:dLbls>
          <c:showLegendKey val="0"/>
          <c:showVal val="0"/>
          <c:showCatName val="0"/>
          <c:showSerName val="0"/>
          <c:showPercent val="0"/>
          <c:showBubbleSize val="0"/>
        </c:dLbls>
        <c:gapWidth val="150"/>
        <c:axId val="218998272"/>
        <c:axId val="218999808"/>
      </c:barChart>
      <c:catAx>
        <c:axId val="218998272"/>
        <c:scaling>
          <c:orientation val="minMax"/>
        </c:scaling>
        <c:delete val="0"/>
        <c:axPos val="b"/>
        <c:numFmt formatCode="General" sourceLinked="0"/>
        <c:majorTickMark val="out"/>
        <c:minorTickMark val="none"/>
        <c:tickLblPos val="nextTo"/>
        <c:crossAx val="218999808"/>
        <c:crosses val="autoZero"/>
        <c:auto val="1"/>
        <c:lblAlgn val="ctr"/>
        <c:lblOffset val="100"/>
        <c:noMultiLvlLbl val="0"/>
      </c:catAx>
      <c:valAx>
        <c:axId val="218999808"/>
        <c:scaling>
          <c:orientation val="minMax"/>
        </c:scaling>
        <c:delete val="0"/>
        <c:axPos val="l"/>
        <c:majorGridlines/>
        <c:numFmt formatCode="General" sourceLinked="1"/>
        <c:majorTickMark val="out"/>
        <c:minorTickMark val="none"/>
        <c:tickLblPos val="nextTo"/>
        <c:crossAx val="2189982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pivotSource>
    <c:name>[04 Restaurant Sales.xlsx]Sheet1!PivotTable1</c:name>
    <c:fmtId val="3"/>
  </c:pivotSource>
  <c:chart>
    <c:title>
      <c:tx>
        <c:rich>
          <a:bodyPr/>
          <a:lstStyle/>
          <a:p>
            <a:pPr>
              <a:defRPr/>
            </a:pPr>
            <a:r>
              <a:rPr lang="en-US" sz="1600"/>
              <a:t>Location wise no.</a:t>
            </a:r>
            <a:r>
              <a:rPr lang="en-US" sz="1600" baseline="0"/>
              <a:t> of orders</a:t>
            </a:r>
            <a:endParaRPr lang="en-US" sz="1600"/>
          </a:p>
        </c:rich>
      </c:tx>
      <c:overlay val="0"/>
    </c:title>
    <c:autoTitleDeleted val="0"/>
    <c:pivotFmts>
      <c:pivotFmt>
        <c:idx val="0"/>
      </c:pivotFmt>
      <c:pivotFmt>
        <c:idx val="1"/>
      </c:pivotFmt>
      <c:pivotFmt>
        <c:idx val="2"/>
        <c:marker>
          <c:symbol val="none"/>
        </c:marker>
        <c:dLbl>
          <c:idx val="0"/>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34951881014873"/>
          <c:y val="0.16163265306122451"/>
          <c:w val="0.77629636920384948"/>
          <c:h val="0.51058930401462299"/>
        </c:manualLayout>
      </c:layout>
      <c:barChart>
        <c:barDir val="col"/>
        <c:grouping val="clustered"/>
        <c:varyColors val="0"/>
        <c:ser>
          <c:idx val="0"/>
          <c:order val="0"/>
          <c:tx>
            <c:strRef>
              <c:f>Sheet1!$B$3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Sheet1!$A$4:$A$13</c:f>
              <c:strCache>
                <c:ptCount val="10"/>
                <c:pt idx="0">
                  <c:v>Downtown Manhattan</c:v>
                </c:pt>
                <c:pt idx="1">
                  <c:v>Coral Gables</c:v>
                </c:pt>
                <c:pt idx="2">
                  <c:v>Austin South Congress</c:v>
                </c:pt>
                <c:pt idx="3">
                  <c:v>Chicago Loop</c:v>
                </c:pt>
                <c:pt idx="4">
                  <c:v>Brooklyn Heights</c:v>
                </c:pt>
                <c:pt idx="5">
                  <c:v>Miami Beach</c:v>
                </c:pt>
                <c:pt idx="6">
                  <c:v>Lincoln Park</c:v>
                </c:pt>
                <c:pt idx="7">
                  <c:v>Midtown East</c:v>
                </c:pt>
                <c:pt idx="8">
                  <c:v>Austin Downtown</c:v>
                </c:pt>
                <c:pt idx="9">
                  <c:v>Upper West Side</c:v>
                </c:pt>
              </c:strCache>
            </c:strRef>
          </c:cat>
          <c:val>
            <c:numRef>
              <c:f>Sheet1!$B$4:$B$13</c:f>
              <c:numCache>
                <c:formatCode>General</c:formatCode>
                <c:ptCount val="10"/>
                <c:pt idx="0">
                  <c:v>138</c:v>
                </c:pt>
                <c:pt idx="1">
                  <c:v>117</c:v>
                </c:pt>
                <c:pt idx="2">
                  <c:v>114</c:v>
                </c:pt>
                <c:pt idx="3">
                  <c:v>102</c:v>
                </c:pt>
                <c:pt idx="4">
                  <c:v>100</c:v>
                </c:pt>
                <c:pt idx="5">
                  <c:v>91</c:v>
                </c:pt>
                <c:pt idx="6">
                  <c:v>90</c:v>
                </c:pt>
                <c:pt idx="7">
                  <c:v>86</c:v>
                </c:pt>
                <c:pt idx="8">
                  <c:v>84</c:v>
                </c:pt>
                <c:pt idx="9">
                  <c:v>78</c:v>
                </c:pt>
              </c:numCache>
            </c:numRef>
          </c:val>
          <c:extLst>
            <c:ext xmlns:c16="http://schemas.microsoft.com/office/drawing/2014/chart" uri="{C3380CC4-5D6E-409C-BE32-E72D297353CC}">
              <c16:uniqueId val="{00000000-9342-43EE-9B24-A3EDA7FA70DE}"/>
            </c:ext>
          </c:extLst>
        </c:ser>
        <c:dLbls>
          <c:dLblPos val="outEnd"/>
          <c:showLegendKey val="0"/>
          <c:showVal val="1"/>
          <c:showCatName val="0"/>
          <c:showSerName val="0"/>
          <c:showPercent val="0"/>
          <c:showBubbleSize val="0"/>
        </c:dLbls>
        <c:gapWidth val="150"/>
        <c:axId val="220853376"/>
        <c:axId val="221118464"/>
      </c:barChart>
      <c:catAx>
        <c:axId val="220853376"/>
        <c:scaling>
          <c:orientation val="minMax"/>
        </c:scaling>
        <c:delete val="0"/>
        <c:axPos val="b"/>
        <c:numFmt formatCode="General" sourceLinked="0"/>
        <c:majorTickMark val="out"/>
        <c:minorTickMark val="none"/>
        <c:tickLblPos val="nextTo"/>
        <c:crossAx val="221118464"/>
        <c:crosses val="autoZero"/>
        <c:auto val="1"/>
        <c:lblAlgn val="ctr"/>
        <c:lblOffset val="100"/>
        <c:noMultiLvlLbl val="0"/>
      </c:catAx>
      <c:valAx>
        <c:axId val="221118464"/>
        <c:scaling>
          <c:orientation val="minMax"/>
        </c:scaling>
        <c:delete val="0"/>
        <c:axPos val="l"/>
        <c:numFmt formatCode="General" sourceLinked="1"/>
        <c:majorTickMark val="out"/>
        <c:minorTickMark val="none"/>
        <c:tickLblPos val="nextTo"/>
        <c:crossAx val="2208533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8"/>
    </mc:Choice>
    <mc:Fallback>
      <c:style val="28"/>
    </mc:Fallback>
  </mc:AlternateContent>
  <c:pivotSource>
    <c:name>[04 Restaurant Sales.xlsx]Sheet2!PivotTable2</c:name>
    <c:fmtId val="2"/>
  </c:pivotSource>
  <c:chart>
    <c:title>
      <c:tx>
        <c:rich>
          <a:bodyPr/>
          <a:lstStyle/>
          <a:p>
            <a:pPr>
              <a:defRPr/>
            </a:pPr>
            <a:r>
              <a:rPr lang="en-IN" sz="1400"/>
              <a:t>No. of Orders Months wise</a:t>
            </a:r>
          </a:p>
        </c:rich>
      </c:tx>
      <c:overlay val="1"/>
    </c:title>
    <c:autoTitleDeleted val="0"/>
    <c:pivotFmts>
      <c:pivotFmt>
        <c:idx val="0"/>
      </c:pivotFmt>
      <c:pivotFmt>
        <c:idx val="1"/>
      </c:pivotFmt>
      <c:pivotFmt>
        <c:idx val="2"/>
      </c:pivotFmt>
      <c:pivotFmt>
        <c:idx val="3"/>
      </c:pivotFmt>
      <c:pivotFmt>
        <c:idx val="4"/>
      </c:pivotFmt>
      <c:pivotFmt>
        <c:idx val="5"/>
        <c:marker>
          <c:symbol val="none"/>
        </c:marker>
        <c:dLbl>
          <c:idx val="0"/>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c:txPr>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pivotFmt>
    </c:pivotFmts>
    <c:plotArea>
      <c:layout>
        <c:manualLayout>
          <c:layoutTarget val="inner"/>
          <c:xMode val="edge"/>
          <c:yMode val="edge"/>
          <c:x val="9.4432852143482071E-2"/>
          <c:y val="0.18055555555555555"/>
          <c:w val="0.77229089046795985"/>
          <c:h val="0.70966790609507158"/>
        </c:manualLayout>
      </c:layout>
      <c:barChart>
        <c:barDir val="col"/>
        <c:grouping val="clustered"/>
        <c:varyColors val="0"/>
        <c:ser>
          <c:idx val="0"/>
          <c:order val="0"/>
          <c:tx>
            <c:strRef>
              <c:f>Sheet2!$B$3:$B$4</c:f>
              <c:strCache>
                <c:ptCount val="1"/>
                <c:pt idx="0">
                  <c:v>2024</c:v>
                </c:pt>
              </c:strCache>
            </c:strRef>
          </c:tx>
          <c:invertIfNegative val="0"/>
          <c:dLbls>
            <c:spPr/>
            <c:txPr>
              <a:bodyPr/>
              <a:lstStyle/>
              <a:p>
                <a:pPr>
                  <a:defRPr sz="8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Sheet2!$B$5:$B$16</c:f>
              <c:numCache>
                <c:formatCode>General</c:formatCode>
                <c:ptCount val="12"/>
                <c:pt idx="0">
                  <c:v>42</c:v>
                </c:pt>
                <c:pt idx="1">
                  <c:v>32</c:v>
                </c:pt>
                <c:pt idx="2">
                  <c:v>46</c:v>
                </c:pt>
                <c:pt idx="3">
                  <c:v>44</c:v>
                </c:pt>
                <c:pt idx="4">
                  <c:v>46</c:v>
                </c:pt>
                <c:pt idx="5">
                  <c:v>51</c:v>
                </c:pt>
                <c:pt idx="6">
                  <c:v>40</c:v>
                </c:pt>
                <c:pt idx="7">
                  <c:v>34</c:v>
                </c:pt>
                <c:pt idx="8">
                  <c:v>46</c:v>
                </c:pt>
                <c:pt idx="9">
                  <c:v>45</c:v>
                </c:pt>
                <c:pt idx="10">
                  <c:v>46</c:v>
                </c:pt>
                <c:pt idx="11">
                  <c:v>43</c:v>
                </c:pt>
              </c:numCache>
            </c:numRef>
          </c:val>
          <c:extLst>
            <c:ext xmlns:c16="http://schemas.microsoft.com/office/drawing/2014/chart" uri="{C3380CC4-5D6E-409C-BE32-E72D297353CC}">
              <c16:uniqueId val="{00000000-8BCE-4012-9F1E-F53D3FCF3D6B}"/>
            </c:ext>
          </c:extLst>
        </c:ser>
        <c:ser>
          <c:idx val="1"/>
          <c:order val="1"/>
          <c:tx>
            <c:strRef>
              <c:f>Sheet2!$C$3:$C$4</c:f>
              <c:strCache>
                <c:ptCount val="1"/>
                <c:pt idx="0">
                  <c:v>2025</c:v>
                </c:pt>
              </c:strCache>
            </c:strRef>
          </c:tx>
          <c:invertIfNegative val="0"/>
          <c:dLbls>
            <c:spPr/>
            <c:txPr>
              <a:bodyPr/>
              <a:lstStyle/>
              <a:p>
                <a:pPr>
                  <a:defRPr sz="7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Sheet2!$C$5:$C$16</c:f>
              <c:numCache>
                <c:formatCode>General</c:formatCode>
                <c:ptCount val="12"/>
                <c:pt idx="0">
                  <c:v>41</c:v>
                </c:pt>
                <c:pt idx="1">
                  <c:v>38</c:v>
                </c:pt>
                <c:pt idx="2">
                  <c:v>36</c:v>
                </c:pt>
                <c:pt idx="3">
                  <c:v>39</c:v>
                </c:pt>
                <c:pt idx="4">
                  <c:v>41</c:v>
                </c:pt>
                <c:pt idx="5">
                  <c:v>37</c:v>
                </c:pt>
                <c:pt idx="6">
                  <c:v>31</c:v>
                </c:pt>
                <c:pt idx="7">
                  <c:v>41</c:v>
                </c:pt>
                <c:pt idx="8">
                  <c:v>51</c:v>
                </c:pt>
                <c:pt idx="9">
                  <c:v>58</c:v>
                </c:pt>
                <c:pt idx="10">
                  <c:v>41</c:v>
                </c:pt>
                <c:pt idx="11">
                  <c:v>31</c:v>
                </c:pt>
              </c:numCache>
            </c:numRef>
          </c:val>
          <c:extLst>
            <c:ext xmlns:c16="http://schemas.microsoft.com/office/drawing/2014/chart" uri="{C3380CC4-5D6E-409C-BE32-E72D297353CC}">
              <c16:uniqueId val="{00000001-8BCE-4012-9F1E-F53D3FCF3D6B}"/>
            </c:ext>
          </c:extLst>
        </c:ser>
        <c:dLbls>
          <c:dLblPos val="inEnd"/>
          <c:showLegendKey val="0"/>
          <c:showVal val="1"/>
          <c:showCatName val="0"/>
          <c:showSerName val="0"/>
          <c:showPercent val="0"/>
          <c:showBubbleSize val="0"/>
        </c:dLbls>
        <c:gapWidth val="150"/>
        <c:axId val="221169152"/>
        <c:axId val="221167616"/>
      </c:barChart>
      <c:valAx>
        <c:axId val="221167616"/>
        <c:scaling>
          <c:orientation val="minMax"/>
        </c:scaling>
        <c:delete val="0"/>
        <c:axPos val="l"/>
        <c:numFmt formatCode="General" sourceLinked="1"/>
        <c:majorTickMark val="out"/>
        <c:minorTickMark val="none"/>
        <c:tickLblPos val="nextTo"/>
        <c:crossAx val="221169152"/>
        <c:crosses val="autoZero"/>
        <c:crossBetween val="between"/>
      </c:valAx>
      <c:catAx>
        <c:axId val="221169152"/>
        <c:scaling>
          <c:orientation val="minMax"/>
        </c:scaling>
        <c:delete val="0"/>
        <c:axPos val="b"/>
        <c:numFmt formatCode="General" sourceLinked="0"/>
        <c:majorTickMark val="out"/>
        <c:minorTickMark val="none"/>
        <c:tickLblPos val="nextTo"/>
        <c:crossAx val="221167616"/>
        <c:crosses val="autoZero"/>
        <c:auto val="1"/>
        <c:lblAlgn val="ctr"/>
        <c:lblOffset val="100"/>
        <c:noMultiLvlLbl val="0"/>
      </c:cat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[04 Restaurant Sales.xlsx]Sheet3!PivotTable3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 wise sale</a:t>
            </a:r>
          </a:p>
        </c:rich>
      </c:tx>
      <c:layout>
        <c:manualLayout>
          <c:xMode val="edge"/>
          <c:yMode val="edge"/>
          <c:x val="0.1509127617789035"/>
          <c:y val="3.24075280702134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c:spPr>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c:spPr>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c:spPr>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Sheet3!$A$4:$A$7</c:f>
              <c:strCache>
                <c:ptCount val="4"/>
                <c:pt idx="0">
                  <c:v>Main</c:v>
                </c:pt>
                <c:pt idx="1">
                  <c:v>Appetizer</c:v>
                </c:pt>
                <c:pt idx="2">
                  <c:v>Dessert</c:v>
                </c:pt>
                <c:pt idx="3">
                  <c:v>Beverage</c:v>
                </c:pt>
              </c:strCache>
            </c:strRef>
          </c:cat>
          <c:val>
            <c:numRef>
              <c:f>Sheet3!$B$4:$B$7</c:f>
              <c:numCache>
                <c:formatCode>0.00%</c:formatCode>
                <c:ptCount val="4"/>
                <c:pt idx="0">
                  <c:v>0.66380639897362059</c:v>
                </c:pt>
                <c:pt idx="1">
                  <c:v>0.15010513790022681</c:v>
                </c:pt>
                <c:pt idx="2">
                  <c:v>9.374502169619929E-2</c:v>
                </c:pt>
                <c:pt idx="3">
                  <c:v>9.234344142995328E-2</c:v>
                </c:pt>
              </c:numCache>
            </c:numRef>
          </c:val>
          <c:extLst>
            <c:ext xmlns:c16="http://schemas.microsoft.com/office/drawing/2014/chart" uri="{C3380CC4-5D6E-409C-BE32-E72D297353CC}">
              <c16:uniqueId val="{00000000-DDFB-429F-9FFF-EB01C0B0E95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364811041976392"/>
          <c:y val="0.23763880930242121"/>
          <c:w val="0.2743938476221941"/>
          <c:h val="0.31819528359477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pivotSource>
    <c:name>[04 Restaurant Sales.xlsx]Sheet4!PivotTable4</c:name>
    <c:fmtId val="3"/>
  </c:pivotSource>
  <c:chart>
    <c:title>
      <c:tx>
        <c:rich>
          <a:bodyPr/>
          <a:lstStyle/>
          <a:p>
            <a:pPr>
              <a:defRPr/>
            </a:pPr>
            <a:r>
              <a:rPr lang="en-US" sz="1400"/>
              <a:t>Category wise Avg Rating </a:t>
            </a:r>
          </a:p>
        </c:rich>
      </c:tx>
      <c:overlay val="0"/>
    </c:title>
    <c:autoTitleDeleted val="0"/>
    <c:pivotFmts>
      <c:pivotFmt>
        <c:idx val="0"/>
      </c:pivotFmt>
      <c:pivotFmt>
        <c:idx val="1"/>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Sheet4!$A$4:$A$7</c:f>
              <c:strCache>
                <c:ptCount val="4"/>
                <c:pt idx="0">
                  <c:v>Appetizer</c:v>
                </c:pt>
                <c:pt idx="1">
                  <c:v>Beverage</c:v>
                </c:pt>
                <c:pt idx="2">
                  <c:v>Dessert</c:v>
                </c:pt>
                <c:pt idx="3">
                  <c:v>Main</c:v>
                </c:pt>
              </c:strCache>
            </c:strRef>
          </c:cat>
          <c:val>
            <c:numRef>
              <c:f>Sheet4!$B$4:$B$7</c:f>
              <c:numCache>
                <c:formatCode>0.00</c:formatCode>
                <c:ptCount val="4"/>
                <c:pt idx="0">
                  <c:v>3.9842105263157896</c:v>
                </c:pt>
                <c:pt idx="1">
                  <c:v>3.9292929292929295</c:v>
                </c:pt>
                <c:pt idx="2">
                  <c:v>3.8978102189781021</c:v>
                </c:pt>
                <c:pt idx="3">
                  <c:v>3.8926315789473684</c:v>
                </c:pt>
              </c:numCache>
            </c:numRef>
          </c:val>
          <c:extLst>
            <c:ext xmlns:c16="http://schemas.microsoft.com/office/drawing/2014/chart" uri="{C3380CC4-5D6E-409C-BE32-E72D297353CC}">
              <c16:uniqueId val="{00000000-9E8A-459B-B037-C3F98B92F6E8}"/>
            </c:ext>
          </c:extLst>
        </c:ser>
        <c:dLbls>
          <c:dLblPos val="outEnd"/>
          <c:showLegendKey val="0"/>
          <c:showVal val="1"/>
          <c:showCatName val="0"/>
          <c:showSerName val="0"/>
          <c:showPercent val="0"/>
          <c:showBubbleSize val="0"/>
        </c:dLbls>
        <c:gapWidth val="150"/>
        <c:axId val="221229056"/>
        <c:axId val="221231744"/>
      </c:barChart>
      <c:catAx>
        <c:axId val="221229056"/>
        <c:scaling>
          <c:orientation val="minMax"/>
        </c:scaling>
        <c:delete val="0"/>
        <c:axPos val="b"/>
        <c:numFmt formatCode="General" sourceLinked="0"/>
        <c:majorTickMark val="out"/>
        <c:minorTickMark val="none"/>
        <c:tickLblPos val="nextTo"/>
        <c:crossAx val="221231744"/>
        <c:crosses val="autoZero"/>
        <c:auto val="1"/>
        <c:lblAlgn val="ctr"/>
        <c:lblOffset val="100"/>
        <c:noMultiLvlLbl val="0"/>
      </c:catAx>
      <c:valAx>
        <c:axId val="221231744"/>
        <c:scaling>
          <c:orientation val="minMax"/>
        </c:scaling>
        <c:delete val="0"/>
        <c:axPos val="l"/>
        <c:numFmt formatCode="0.00" sourceLinked="1"/>
        <c:majorTickMark val="out"/>
        <c:minorTickMark val="none"/>
        <c:tickLblPos val="nextTo"/>
        <c:crossAx val="2212290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pivotSource>
    <c:name>[04 Restaurant Sales.xlsx]Sheet5!PivotTable5</c:name>
    <c:fmtId val="2"/>
  </c:pivotSource>
  <c:chart>
    <c:title>
      <c:tx>
        <c:rich>
          <a:bodyPr/>
          <a:lstStyle/>
          <a:p>
            <a:pPr>
              <a:defRPr/>
            </a:pPr>
            <a:r>
              <a:rPr lang="en-US" sz="1600"/>
              <a:t>Order type</a:t>
            </a:r>
          </a:p>
        </c:rich>
      </c:tx>
      <c:layout>
        <c:manualLayout>
          <c:xMode val="edge"/>
          <c:yMode val="edge"/>
          <c:x val="0.29524611147744462"/>
          <c:y val="3.4972665557363086E-2"/>
        </c:manualLayout>
      </c:layout>
      <c:overlay val="0"/>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Sheet5!$A$4:$A$6</c:f>
              <c:strCache>
                <c:ptCount val="3"/>
                <c:pt idx="0">
                  <c:v>Delivery</c:v>
                </c:pt>
                <c:pt idx="1">
                  <c:v>Dine-In</c:v>
                </c:pt>
                <c:pt idx="2">
                  <c:v>Takeaway</c:v>
                </c:pt>
              </c:strCache>
            </c:strRef>
          </c:cat>
          <c:val>
            <c:numRef>
              <c:f>Sheet5!$B$4:$B$6</c:f>
              <c:numCache>
                <c:formatCode>General</c:formatCode>
                <c:ptCount val="3"/>
                <c:pt idx="0">
                  <c:v>566</c:v>
                </c:pt>
                <c:pt idx="1">
                  <c:v>736</c:v>
                </c:pt>
                <c:pt idx="2">
                  <c:v>453</c:v>
                </c:pt>
              </c:numCache>
            </c:numRef>
          </c:val>
          <c:extLst>
            <c:ext xmlns:c16="http://schemas.microsoft.com/office/drawing/2014/chart" uri="{C3380CC4-5D6E-409C-BE32-E72D297353CC}">
              <c16:uniqueId val="{00000000-1CAB-4DD8-850B-0E08B02B85F4}"/>
            </c:ext>
          </c:extLst>
        </c:ser>
        <c:dLbls>
          <c:dLblPos val="outEnd"/>
          <c:showLegendKey val="0"/>
          <c:showVal val="1"/>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7"/>
    </mc:Choice>
    <mc:Fallback>
      <c:style val="27"/>
    </mc:Fallback>
  </mc:AlternateContent>
  <c:pivotSource>
    <c:name>[04 Restaurant Sales.xlsx]Sheet9!PivotTable2</c:name>
    <c:fmtId val="2"/>
  </c:pivotSource>
  <c:chart>
    <c:title>
      <c:tx>
        <c:rich>
          <a:bodyPr/>
          <a:lstStyle/>
          <a:p>
            <a:pPr>
              <a:defRPr/>
            </a:pPr>
            <a:r>
              <a:rPr lang="en-IN" sz="1600"/>
              <a:t>Region  vs Category wise orders </a:t>
            </a:r>
          </a:p>
        </c:rich>
      </c:tx>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pivotFmt>
    </c:pivotFmts>
    <c:plotArea>
      <c:layout>
        <c:manualLayout>
          <c:layoutTarget val="inner"/>
          <c:xMode val="edge"/>
          <c:yMode val="edge"/>
          <c:x val="6.6352516119572699E-2"/>
          <c:y val="0.18842592592592591"/>
          <c:w val="0.7932240221177711"/>
          <c:h val="0.53811533974919801"/>
        </c:manualLayout>
      </c:layout>
      <c:barChart>
        <c:barDir val="col"/>
        <c:grouping val="clustered"/>
        <c:varyColors val="0"/>
        <c:ser>
          <c:idx val="0"/>
          <c:order val="0"/>
          <c:tx>
            <c:strRef>
              <c:f>Sheet9!$B$3:$B$4</c:f>
              <c:strCache>
                <c:ptCount val="1"/>
                <c:pt idx="0">
                  <c:v>Appetizer</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Sheet9!$B$5:$B$14</c:f>
              <c:numCache>
                <c:formatCode>General</c:formatCode>
                <c:ptCount val="10"/>
                <c:pt idx="0">
                  <c:v>25</c:v>
                </c:pt>
                <c:pt idx="1">
                  <c:v>43</c:v>
                </c:pt>
                <c:pt idx="2">
                  <c:v>51</c:v>
                </c:pt>
                <c:pt idx="3">
                  <c:v>29</c:v>
                </c:pt>
                <c:pt idx="4">
                  <c:v>26</c:v>
                </c:pt>
                <c:pt idx="5">
                  <c:v>38</c:v>
                </c:pt>
                <c:pt idx="6">
                  <c:v>35</c:v>
                </c:pt>
                <c:pt idx="7">
                  <c:v>43</c:v>
                </c:pt>
                <c:pt idx="8">
                  <c:v>29</c:v>
                </c:pt>
                <c:pt idx="9">
                  <c:v>18</c:v>
                </c:pt>
              </c:numCache>
            </c:numRef>
          </c:val>
          <c:extLst>
            <c:ext xmlns:c16="http://schemas.microsoft.com/office/drawing/2014/chart" uri="{C3380CC4-5D6E-409C-BE32-E72D297353CC}">
              <c16:uniqueId val="{00000000-7C5D-4916-AD97-C00C16CA106E}"/>
            </c:ext>
          </c:extLst>
        </c:ser>
        <c:ser>
          <c:idx val="1"/>
          <c:order val="1"/>
          <c:tx>
            <c:strRef>
              <c:f>Sheet9!$C$3:$C$4</c:f>
              <c:strCache>
                <c:ptCount val="1"/>
                <c:pt idx="0">
                  <c:v>Beverage</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Sheet9!$C$5:$C$14</c:f>
              <c:numCache>
                <c:formatCode>General</c:formatCode>
                <c:ptCount val="10"/>
                <c:pt idx="0">
                  <c:v>25</c:v>
                </c:pt>
                <c:pt idx="1">
                  <c:v>40</c:v>
                </c:pt>
                <c:pt idx="2">
                  <c:v>24</c:v>
                </c:pt>
                <c:pt idx="3">
                  <c:v>49</c:v>
                </c:pt>
                <c:pt idx="4">
                  <c:v>36</c:v>
                </c:pt>
                <c:pt idx="5">
                  <c:v>61</c:v>
                </c:pt>
                <c:pt idx="6">
                  <c:v>27</c:v>
                </c:pt>
                <c:pt idx="7">
                  <c:v>16</c:v>
                </c:pt>
                <c:pt idx="8">
                  <c:v>41</c:v>
                </c:pt>
                <c:pt idx="9">
                  <c:v>40</c:v>
                </c:pt>
              </c:numCache>
            </c:numRef>
          </c:val>
          <c:extLst>
            <c:ext xmlns:c16="http://schemas.microsoft.com/office/drawing/2014/chart" uri="{C3380CC4-5D6E-409C-BE32-E72D297353CC}">
              <c16:uniqueId val="{00000001-7C5D-4916-AD97-C00C16CA106E}"/>
            </c:ext>
          </c:extLst>
        </c:ser>
        <c:ser>
          <c:idx val="2"/>
          <c:order val="2"/>
          <c:tx>
            <c:strRef>
              <c:f>Sheet9!$D$3:$D$4</c:f>
              <c:strCache>
                <c:ptCount val="1"/>
                <c:pt idx="0">
                  <c:v>Dessert</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Sheet9!$D$5:$D$14</c:f>
              <c:numCache>
                <c:formatCode>General</c:formatCode>
                <c:ptCount val="10"/>
                <c:pt idx="0">
                  <c:v>28</c:v>
                </c:pt>
                <c:pt idx="1">
                  <c:v>22</c:v>
                </c:pt>
                <c:pt idx="2">
                  <c:v>19</c:v>
                </c:pt>
                <c:pt idx="3">
                  <c:v>27</c:v>
                </c:pt>
                <c:pt idx="4">
                  <c:v>33</c:v>
                </c:pt>
                <c:pt idx="5">
                  <c:v>31</c:v>
                </c:pt>
                <c:pt idx="6">
                  <c:v>23</c:v>
                </c:pt>
                <c:pt idx="7">
                  <c:v>24</c:v>
                </c:pt>
                <c:pt idx="8">
                  <c:v>24</c:v>
                </c:pt>
                <c:pt idx="9">
                  <c:v>12</c:v>
                </c:pt>
              </c:numCache>
            </c:numRef>
          </c:val>
          <c:extLst>
            <c:ext xmlns:c16="http://schemas.microsoft.com/office/drawing/2014/chart" uri="{C3380CC4-5D6E-409C-BE32-E72D297353CC}">
              <c16:uniqueId val="{00000002-7C5D-4916-AD97-C00C16CA106E}"/>
            </c:ext>
          </c:extLst>
        </c:ser>
        <c:ser>
          <c:idx val="3"/>
          <c:order val="3"/>
          <c:tx>
            <c:strRef>
              <c:f>Sheet9!$E$3:$E$4</c:f>
              <c:strCache>
                <c:ptCount val="1"/>
                <c:pt idx="0">
                  <c:v>Main</c:v>
                </c:pt>
              </c:strCache>
            </c:strRef>
          </c:tx>
          <c:invertIfNegative val="0"/>
          <c:cat>
            <c:strRef>
              <c:f>Sheet9!$A$5:$A$14</c:f>
              <c:strCache>
                <c:ptCount val="10"/>
                <c:pt idx="0">
                  <c:v>Austin Downtown</c:v>
                </c:pt>
                <c:pt idx="1">
                  <c:v>Austin South Congress</c:v>
                </c:pt>
                <c:pt idx="2">
                  <c:v>Brooklyn Heights</c:v>
                </c:pt>
                <c:pt idx="3">
                  <c:v>Chicago Loop</c:v>
                </c:pt>
                <c:pt idx="4">
                  <c:v>Coral Gables</c:v>
                </c:pt>
                <c:pt idx="5">
                  <c:v>Downtown Manhattan</c:v>
                </c:pt>
                <c:pt idx="6">
                  <c:v>Lincoln Park</c:v>
                </c:pt>
                <c:pt idx="7">
                  <c:v>Miami Beach</c:v>
                </c:pt>
                <c:pt idx="8">
                  <c:v>Midtown East</c:v>
                </c:pt>
                <c:pt idx="9">
                  <c:v>Upper West Side</c:v>
                </c:pt>
              </c:strCache>
            </c:strRef>
          </c:cat>
          <c:val>
            <c:numRef>
              <c:f>Sheet9!$E$5:$E$14</c:f>
              <c:numCache>
                <c:formatCode>General</c:formatCode>
                <c:ptCount val="10"/>
                <c:pt idx="0">
                  <c:v>67</c:v>
                </c:pt>
                <c:pt idx="1">
                  <c:v>85</c:v>
                </c:pt>
                <c:pt idx="2">
                  <c:v>70</c:v>
                </c:pt>
                <c:pt idx="3">
                  <c:v>71</c:v>
                </c:pt>
                <c:pt idx="4">
                  <c:v>105</c:v>
                </c:pt>
                <c:pt idx="5">
                  <c:v>120</c:v>
                </c:pt>
                <c:pt idx="6">
                  <c:v>86</c:v>
                </c:pt>
                <c:pt idx="7">
                  <c:v>81</c:v>
                </c:pt>
                <c:pt idx="8">
                  <c:v>67</c:v>
                </c:pt>
                <c:pt idx="9">
                  <c:v>64</c:v>
                </c:pt>
              </c:numCache>
            </c:numRef>
          </c:val>
          <c:extLst>
            <c:ext xmlns:c16="http://schemas.microsoft.com/office/drawing/2014/chart" uri="{C3380CC4-5D6E-409C-BE32-E72D297353CC}">
              <c16:uniqueId val="{00000003-7C5D-4916-AD97-C00C16CA106E}"/>
            </c:ext>
          </c:extLst>
        </c:ser>
        <c:dLbls>
          <c:showLegendKey val="0"/>
          <c:showVal val="0"/>
          <c:showCatName val="0"/>
          <c:showSerName val="0"/>
          <c:showPercent val="0"/>
          <c:showBubbleSize val="0"/>
        </c:dLbls>
        <c:gapWidth val="150"/>
        <c:axId val="220985600"/>
        <c:axId val="220987392"/>
      </c:barChart>
      <c:catAx>
        <c:axId val="220985600"/>
        <c:scaling>
          <c:orientation val="minMax"/>
        </c:scaling>
        <c:delete val="0"/>
        <c:axPos val="b"/>
        <c:numFmt formatCode="General" sourceLinked="0"/>
        <c:majorTickMark val="out"/>
        <c:minorTickMark val="none"/>
        <c:tickLblPos val="nextTo"/>
        <c:crossAx val="220987392"/>
        <c:crosses val="autoZero"/>
        <c:auto val="1"/>
        <c:lblAlgn val="ctr"/>
        <c:lblOffset val="100"/>
        <c:noMultiLvlLbl val="0"/>
      </c:catAx>
      <c:valAx>
        <c:axId val="220987392"/>
        <c:scaling>
          <c:orientation val="minMax"/>
        </c:scaling>
        <c:delete val="0"/>
        <c:axPos val="l"/>
        <c:numFmt formatCode="General" sourceLinked="1"/>
        <c:majorTickMark val="out"/>
        <c:minorTickMark val="none"/>
        <c:tickLblPos val="nextTo"/>
        <c:crossAx val="220985600"/>
        <c:crosses val="autoZero"/>
        <c:crossBetween val="between"/>
      </c:valAx>
    </c:plotArea>
    <c:legend>
      <c:legendPos val="r"/>
      <c:layout>
        <c:manualLayout>
          <c:xMode val="edge"/>
          <c:yMode val="edge"/>
          <c:x val="0.8510879391769266"/>
          <c:y val="0.40543307086614172"/>
          <c:w val="0.14891206082307337"/>
          <c:h val="0.31598571011956839"/>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[04 Restaurant Sales.xlsx]Sheet7!PivotTable1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manualLayout>
          <c:layoutTarget val="inner"/>
          <c:xMode val="edge"/>
          <c:yMode val="edge"/>
          <c:x val="0.13422003499562554"/>
          <c:y val="0.15277777777777779"/>
          <c:w val="0.72622440944881883"/>
          <c:h val="0.74019320501603969"/>
        </c:manualLayout>
      </c:layout>
      <c:barChart>
        <c:barDir val="col"/>
        <c:grouping val="clustered"/>
        <c:varyColors val="0"/>
        <c:ser>
          <c:idx val="0"/>
          <c:order val="0"/>
          <c:tx>
            <c:strRef>
              <c:f>Sheet7!$B$3:$B$4</c:f>
              <c:strCache>
                <c:ptCount val="1"/>
                <c:pt idx="0">
                  <c:v>2024</c:v>
                </c:pt>
              </c:strCache>
            </c:strRef>
          </c:tx>
          <c:spPr>
            <a:solidFill>
              <a:schemeClr val="accent1"/>
            </a:solidFill>
            <a:ln>
              <a:noFill/>
            </a:ln>
            <a:effectLst/>
          </c:spPr>
          <c:invertIfNegative val="0"/>
          <c:cat>
            <c:strRef>
              <c:f>Sheet7!$A$5:$A$16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Sheet7!$B$5:$B$16</c:f>
              <c:numCache>
                <c:formatCode>_-[$$-409]* #,##0_ ;_-[$$-409]* \-#,##0\ ;_-[$$-409]* "-"??_ ;_-@_ </c:formatCode>
                <c:ptCount val="12"/>
                <c:pt idx="0">
                  <c:v>1146.1900000000005</c:v>
                </c:pt>
                <c:pt idx="1">
                  <c:v>601.57000000000028</c:v>
                </c:pt>
                <c:pt idx="2">
                  <c:v>1148.2700000000004</c:v>
                </c:pt>
                <c:pt idx="3">
                  <c:v>1151.1800000000005</c:v>
                </c:pt>
                <c:pt idx="4">
                  <c:v>1326.6500000000005</c:v>
                </c:pt>
                <c:pt idx="5">
                  <c:v>1297.1300000000006</c:v>
                </c:pt>
                <c:pt idx="6">
                  <c:v>1131.7500000000005</c:v>
                </c:pt>
                <c:pt idx="7">
                  <c:v>808.4400000000004</c:v>
                </c:pt>
                <c:pt idx="8">
                  <c:v>1291.2000000000005</c:v>
                </c:pt>
                <c:pt idx="9">
                  <c:v>1042.7200000000005</c:v>
                </c:pt>
                <c:pt idx="10">
                  <c:v>1039.2600000000004</c:v>
                </c:pt>
                <c:pt idx="11">
                  <c:v>1234.2300000000002</c:v>
                </c:pt>
              </c:numCache>
            </c:numRef>
          </c:val>
          <c:extLst>
            <c:ext xmlns:c16="http://schemas.microsoft.com/office/drawing/2014/chart" uri="{C3380CC4-5D6E-409C-BE32-E72D297353CC}">
              <c16:uniqueId val="{00000000-E967-4694-A5ED-804C189B4632}"/>
            </c:ext>
          </c:extLst>
        </c:ser>
        <c:ser>
          <c:idx val="1"/>
          <c:order val="1"/>
          <c:tx>
            <c:strRef>
              <c:f>Sheet7!$C$3:$C$4</c:f>
              <c:strCache>
                <c:ptCount val="1"/>
                <c:pt idx="0">
                  <c:v>2025</c:v>
                </c:pt>
              </c:strCache>
            </c:strRef>
          </c:tx>
          <c:spPr>
            <a:solidFill>
              <a:schemeClr val="accent2"/>
            </a:solidFill>
            <a:ln>
              <a:noFill/>
            </a:ln>
            <a:effectLst/>
          </c:spPr>
          <c:invertIfNegative val="0"/>
          <c:cat>
            <c:strRef>
              <c:f>Sheet7!$A$5:$A$16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Sheet7!$C$5:$C$16</c:f>
              <c:numCache>
                <c:formatCode>_-[$$-409]* #,##0_ ;_-[$$-409]* \-#,##0\ ;_-[$$-409]* "-"??_ ;_-@_ </c:formatCode>
                <c:ptCount val="12"/>
                <c:pt idx="0">
                  <c:v>1236.2100000000005</c:v>
                </c:pt>
                <c:pt idx="1">
                  <c:v>802.39000000000021</c:v>
                </c:pt>
                <c:pt idx="2">
                  <c:v>930.84000000000037</c:v>
                </c:pt>
                <c:pt idx="3">
                  <c:v>1034.3400000000004</c:v>
                </c:pt>
                <c:pt idx="4">
                  <c:v>889.78000000000043</c:v>
                </c:pt>
                <c:pt idx="5">
                  <c:v>1094.2700000000002</c:v>
                </c:pt>
                <c:pt idx="6">
                  <c:v>723.98000000000013</c:v>
                </c:pt>
                <c:pt idx="7">
                  <c:v>1181.2500000000005</c:v>
                </c:pt>
                <c:pt idx="8">
                  <c:v>1283.9800000000005</c:v>
                </c:pt>
                <c:pt idx="9">
                  <c:v>1500.5500000000006</c:v>
                </c:pt>
                <c:pt idx="10">
                  <c:v>1083.2600000000002</c:v>
                </c:pt>
                <c:pt idx="11">
                  <c:v>820.01000000000033</c:v>
                </c:pt>
              </c:numCache>
            </c:numRef>
          </c:val>
          <c:extLst>
            <c:ext xmlns:c16="http://schemas.microsoft.com/office/drawing/2014/chart" uri="{C3380CC4-5D6E-409C-BE32-E72D297353CC}">
              <c16:uniqueId val="{00000000-6C89-4EE1-9E37-66E3902BB539}"/>
            </c:ext>
          </c:extLst>
        </c:ser>
        <c:dLbls>
          <c:dLblPos val="outEnd"/>
          <c:showLegendKey val="0"/>
          <c:showVal val="0"/>
          <c:showCatName val="0"/>
          <c:showSerName val="0"/>
          <c:showPercent val="0"/>
          <c:showBubbleSize val="0"/>
        </c:dLbls>
        <c:gapWidth val="219"/>
        <c:overlap val="-27"/>
        <c:axId val="601398328"/>
        <c:axId val="601399384"/>
      </c:barChart>
      <c:catAx>
        <c:axId val="601398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9384"/>
        <c:crosses val="autoZero"/>
        <c:auto val="1"/>
        <c:lblAlgn val="ctr"/>
        <c:lblOffset val="100"/>
        <c:noMultiLvlLbl val="0"/>
      </c:catAx>
      <c:valAx>
        <c:axId val="601399384"/>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28575</xdr:colOff>
      <xdr:row>1</xdr:row>
      <xdr:rowOff>171450</xdr:rowOff>
    </xdr:from>
    <xdr:to>
      <xdr:col>9</xdr:col>
      <xdr:colOff>485775</xdr:colOff>
      <xdr:row>14</xdr:row>
      <xdr:rowOff>38100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809624</xdr:colOff>
      <xdr:row>2</xdr:row>
      <xdr:rowOff>9526</xdr:rowOff>
    </xdr:from>
    <xdr:to>
      <xdr:col>11</xdr:col>
      <xdr:colOff>542924</xdr:colOff>
      <xdr:row>10</xdr:row>
      <xdr:rowOff>123826</xdr:rowOff>
    </xdr:to>
    <mc:AlternateContent xmlns:mc="http://schemas.openxmlformats.org/markup-compatibility/2006" xmlns:a14="http://schemas.microsoft.com/office/drawing/2010/main">
      <mc:Choice Requires="a14">
        <xdr:graphicFrame macro="">
          <xdr:nvGraphicFramePr>
            <xdr:cNvPr id="4" name="Restaurant Location">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Restaurant Location"/>
            </a:graphicData>
          </a:graphic>
        </xdr:graphicFrame>
      </mc:Choice>
      <mc:Fallback xmlns="">
        <xdr:sp macro="" textlink="">
          <xdr:nvSpPr>
            <xdr:cNvPr id="0" name=""/>
            <xdr:cNvSpPr>
              <a:spLocks noTextEdit="1"/>
            </xdr:cNvSpPr>
          </xdr:nvSpPr>
          <xdr:spPr>
            <a:xfrm>
              <a:off x="9905999" y="381001"/>
              <a:ext cx="1895475"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514350</xdr:colOff>
      <xdr:row>2</xdr:row>
      <xdr:rowOff>57150</xdr:rowOff>
    </xdr:from>
    <xdr:to>
      <xdr:col>10</xdr:col>
      <xdr:colOff>104775</xdr:colOff>
      <xdr:row>17</xdr:row>
      <xdr:rowOff>85725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390525</xdr:colOff>
      <xdr:row>2</xdr:row>
      <xdr:rowOff>38101</xdr:rowOff>
    </xdr:from>
    <xdr:to>
      <xdr:col>13</xdr:col>
      <xdr:colOff>161925</xdr:colOff>
      <xdr:row>9</xdr:row>
      <xdr:rowOff>171450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229600" y="400051"/>
              <a:ext cx="1828800" cy="140017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10</xdr:row>
      <xdr:rowOff>85725</xdr:rowOff>
    </xdr:from>
    <xdr:to>
      <xdr:col>13</xdr:col>
      <xdr:colOff>152400</xdr:colOff>
      <xdr:row>15</xdr:row>
      <xdr:rowOff>104775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20075" y="1895475"/>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1</xdr:row>
      <xdr:rowOff>142875</xdr:rowOff>
    </xdr:from>
    <xdr:to>
      <xdr:col>9</xdr:col>
      <xdr:colOff>476250</xdr:colOff>
      <xdr:row>16</xdr:row>
      <xdr:rowOff>171450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171450</xdr:colOff>
      <xdr:row>7</xdr:row>
      <xdr:rowOff>171451</xdr:rowOff>
    </xdr:from>
    <xdr:to>
      <xdr:col>1</xdr:col>
      <xdr:colOff>981075</xdr:colOff>
      <xdr:row>15</xdr:row>
      <xdr:rowOff>152401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1450" y="1438276"/>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5</xdr:row>
      <xdr:rowOff>19050</xdr:rowOff>
    </xdr:from>
    <xdr:to>
      <xdr:col>9</xdr:col>
      <xdr:colOff>66675</xdr:colOff>
      <xdr:row>20</xdr:row>
      <xdr:rowOff>47625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666750</xdr:colOff>
      <xdr:row>2</xdr:row>
      <xdr:rowOff>171450</xdr:rowOff>
    </xdr:from>
    <xdr:to>
      <xdr:col>11</xdr:col>
      <xdr:colOff>438150</xdr:colOff>
      <xdr:row>18</xdr:row>
      <xdr:rowOff>19050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752475</xdr:colOff>
      <xdr:row>7</xdr:row>
      <xdr:rowOff>9526</xdr:rowOff>
    </xdr:from>
    <xdr:to>
      <xdr:col>3</xdr:col>
      <xdr:colOff>9525</xdr:colOff>
      <xdr:row>13</xdr:row>
      <xdr:rowOff>161926</xdr:rowOff>
    </xdr:to>
    <mc:AlternateContent xmlns:mc="http://schemas.openxmlformats.org/markup-compatibility/2006" xmlns:a14="http://schemas.microsoft.com/office/drawing/2010/main">
      <mc:Choice Requires="a14">
        <xdr:graphicFrame macro="">
          <xdr:nvGraphicFramePr>
            <xdr:cNvPr id="3" name="Order Type">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752475" y="1276351"/>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38100</xdr:colOff>
      <xdr:row>2</xdr:row>
      <xdr:rowOff>47625</xdr:rowOff>
    </xdr:from>
    <xdr:to>
      <xdr:col>15</xdr:col>
      <xdr:colOff>495300</xdr:colOff>
      <xdr:row>16</xdr:row>
      <xdr:rowOff>38100</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067925" y="409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590550</xdr:colOff>
      <xdr:row>1</xdr:row>
      <xdr:rowOff>42862</xdr:rowOff>
    </xdr:from>
    <xdr:to>
      <xdr:col>12</xdr:col>
      <xdr:colOff>285750</xdr:colOff>
      <xdr:row>15</xdr:row>
      <xdr:rowOff>119062</xdr:rowOff>
    </xdr:to>
    <xdr:graphicFrame macro="">
      <xdr:nvGraphicFramePr>
        <xdr:cNvPr id="4" name="Chart 3">
          <a:extLst>
            <a:ext uri="{FF2B5EF4-FFF2-40B4-BE49-F238E27FC236}">
              <a16:creationId xmlns:a16="http://schemas.microsoft.com/office/drawing/2014/main" id="{C6BD34E2-EBED-7C80-9BE9-C0796AEBA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0.16875</cdr:x>
      <cdr:y>0</cdr:y>
    </cdr:from>
    <cdr:to>
      <cdr:x>0.81414</cdr:x>
      <cdr:y>0.15104</cdr:y>
    </cdr:to>
    <cdr:pic>
      <cdr:nvPicPr>
        <cdr:cNvPr id="3" name="chart">
          <a:extLst xmlns:a="http://schemas.openxmlformats.org/drawingml/2006/main">
            <a:ext uri="{FF2B5EF4-FFF2-40B4-BE49-F238E27FC236}">
              <a16:creationId xmlns:a16="http://schemas.microsoft.com/office/drawing/2014/main" id="{F88F0AD0-0C84-7C95-59EE-F61BED36805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771525" y="0"/>
          <a:ext cx="2950720" cy="414338"/>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6</xdr:col>
      <xdr:colOff>104775</xdr:colOff>
      <xdr:row>2</xdr:row>
      <xdr:rowOff>9525</xdr:rowOff>
    </xdr:from>
    <xdr:to>
      <xdr:col>12</xdr:col>
      <xdr:colOff>142875</xdr:colOff>
      <xdr:row>17</xdr:row>
      <xdr:rowOff>38100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866775</xdr:colOff>
      <xdr:row>17</xdr:row>
      <xdr:rowOff>95250</xdr:rowOff>
    </xdr:from>
    <xdr:to>
      <xdr:col>7</xdr:col>
      <xdr:colOff>676275</xdr:colOff>
      <xdr:row>31</xdr:row>
      <xdr:rowOff>38100</xdr:rowOff>
    </xdr:to>
    <mc:AlternateContent xmlns:mc="http://schemas.openxmlformats.org/markup-compatibility/2006" xmlns:a14="http://schemas.microsoft.com/office/drawing/2010/main">
      <mc:Choice Requires="a14">
        <xdr:graphicFrame macro="">
          <xdr:nvGraphicFramePr>
            <xdr:cNvPr id="3" name="Restaurant Location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Restaurant Location 1"/>
            </a:graphicData>
          </a:graphic>
        </xdr:graphicFrame>
      </mc:Choice>
      <mc:Fallback xmlns="">
        <xdr:sp macro="" textlink="">
          <xdr:nvSpPr>
            <xdr:cNvPr id="0" name=""/>
            <xdr:cNvSpPr>
              <a:spLocks noTextEdit="1"/>
            </xdr:cNvSpPr>
          </xdr:nvSpPr>
          <xdr:spPr>
            <a:xfrm>
              <a:off x="5334000" y="3171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xdr:colOff>
      <xdr:row>16</xdr:row>
      <xdr:rowOff>9525</xdr:rowOff>
    </xdr:from>
    <xdr:to>
      <xdr:col>5</xdr:col>
      <xdr:colOff>104775</xdr:colOff>
      <xdr:row>29</xdr:row>
      <xdr:rowOff>133350</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752725" y="2905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28574</xdr:colOff>
      <xdr:row>0</xdr:row>
      <xdr:rowOff>9525</xdr:rowOff>
    </xdr:from>
    <xdr:to>
      <xdr:col>28</xdr:col>
      <xdr:colOff>533400</xdr:colOff>
      <xdr:row>2</xdr:row>
      <xdr:rowOff>114300</xdr:rowOff>
    </xdr:to>
    <xdr:sp macro="" textlink="">
      <xdr:nvSpPr>
        <xdr:cNvPr id="2" name="Rectangle 1">
          <a:extLst>
            <a:ext uri="{FF2B5EF4-FFF2-40B4-BE49-F238E27FC236}">
              <a16:creationId xmlns:a16="http://schemas.microsoft.com/office/drawing/2014/main" id="{00000000-0008-0000-0900-000002000000}"/>
            </a:ext>
          </a:extLst>
        </xdr:cNvPr>
        <xdr:cNvSpPr/>
      </xdr:nvSpPr>
      <xdr:spPr>
        <a:xfrm>
          <a:off x="28574" y="9525"/>
          <a:ext cx="17573626" cy="485775"/>
        </a:xfrm>
        <a:prstGeom prst="rect">
          <a:avLst/>
        </a:prstGeom>
        <a:solidFill>
          <a:schemeClr val="tx2">
            <a:lumMod val="75000"/>
            <a:lumOff val="2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b="1">
              <a:solidFill>
                <a:schemeClr val="bg1"/>
              </a:solidFill>
            </a:rPr>
            <a:t>                                                                                                                                                       </a:t>
          </a:r>
          <a:r>
            <a:rPr lang="en-IN" sz="2400" b="1">
              <a:solidFill>
                <a:schemeClr val="bg1"/>
              </a:solidFill>
              <a:latin typeface="Arial Black" pitchFamily="34" charset="0"/>
            </a:rPr>
            <a:t>Restaurant Sales </a:t>
          </a:r>
        </a:p>
      </xdr:txBody>
    </xdr:sp>
    <xdr:clientData/>
  </xdr:twoCellAnchor>
  <xdr:twoCellAnchor>
    <xdr:from>
      <xdr:col>0</xdr:col>
      <xdr:colOff>38099</xdr:colOff>
      <xdr:row>2</xdr:row>
      <xdr:rowOff>123824</xdr:rowOff>
    </xdr:from>
    <xdr:to>
      <xdr:col>28</xdr:col>
      <xdr:colOff>542924</xdr:colOff>
      <xdr:row>33</xdr:row>
      <xdr:rowOff>123824</xdr:rowOff>
    </xdr:to>
    <xdr:sp macro="" textlink="">
      <xdr:nvSpPr>
        <xdr:cNvPr id="3" name="Rectangle 2">
          <a:extLst>
            <a:ext uri="{FF2B5EF4-FFF2-40B4-BE49-F238E27FC236}">
              <a16:creationId xmlns:a16="http://schemas.microsoft.com/office/drawing/2014/main" id="{00000000-0008-0000-0900-000003000000}"/>
            </a:ext>
          </a:extLst>
        </xdr:cNvPr>
        <xdr:cNvSpPr/>
      </xdr:nvSpPr>
      <xdr:spPr>
        <a:xfrm>
          <a:off x="38099" y="504824"/>
          <a:ext cx="17573625" cy="5905500"/>
        </a:xfrm>
        <a:prstGeom prst="rect">
          <a:avLst/>
        </a:prstGeom>
        <a:solidFill>
          <a:schemeClr val="tx2">
            <a:lumMod val="25000"/>
            <a:lumOff val="7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390526</xdr:colOff>
      <xdr:row>2</xdr:row>
      <xdr:rowOff>142875</xdr:rowOff>
    </xdr:from>
    <xdr:to>
      <xdr:col>12</xdr:col>
      <xdr:colOff>85725</xdr:colOff>
      <xdr:row>17</xdr:row>
      <xdr:rowOff>171450</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352425</xdr:colOff>
      <xdr:row>2</xdr:row>
      <xdr:rowOff>152399</xdr:rowOff>
    </xdr:from>
    <xdr:to>
      <xdr:col>28</xdr:col>
      <xdr:colOff>514350</xdr:colOff>
      <xdr:row>17</xdr:row>
      <xdr:rowOff>171450</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571499</xdr:colOff>
      <xdr:row>18</xdr:row>
      <xdr:rowOff>28573</xdr:rowOff>
    </xdr:from>
    <xdr:to>
      <xdr:col>22</xdr:col>
      <xdr:colOff>257174</xdr:colOff>
      <xdr:row>33</xdr:row>
      <xdr:rowOff>38099</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371475</xdr:colOff>
      <xdr:row>18</xdr:row>
      <xdr:rowOff>38099</xdr:rowOff>
    </xdr:from>
    <xdr:to>
      <xdr:col>7</xdr:col>
      <xdr:colOff>438150</xdr:colOff>
      <xdr:row>33</xdr:row>
      <xdr:rowOff>57150</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295275</xdr:colOff>
      <xdr:row>18</xdr:row>
      <xdr:rowOff>9524</xdr:rowOff>
    </xdr:from>
    <xdr:to>
      <xdr:col>28</xdr:col>
      <xdr:colOff>504825</xdr:colOff>
      <xdr:row>33</xdr:row>
      <xdr:rowOff>57150</xdr:rowOff>
    </xdr:to>
    <xdr:graphicFrame macro="">
      <xdr:nvGraphicFramePr>
        <xdr:cNvPr id="8" name="Chart 7">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xdr:colOff>
      <xdr:row>2</xdr:row>
      <xdr:rowOff>180972</xdr:rowOff>
    </xdr:from>
    <xdr:to>
      <xdr:col>2</xdr:col>
      <xdr:colOff>352425</xdr:colOff>
      <xdr:row>19</xdr:row>
      <xdr:rowOff>123825</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00000000-0008-0000-0900-000009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7150" y="542922"/>
              <a:ext cx="1666875" cy="301942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25</xdr:row>
      <xdr:rowOff>28575</xdr:rowOff>
    </xdr:from>
    <xdr:to>
      <xdr:col>2</xdr:col>
      <xdr:colOff>342900</xdr:colOff>
      <xdr:row>33</xdr:row>
      <xdr:rowOff>57149</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00000000-0008-0000-0900-00000A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150" y="4552950"/>
              <a:ext cx="1657350" cy="147637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19</xdr:row>
      <xdr:rowOff>142874</xdr:rowOff>
    </xdr:from>
    <xdr:to>
      <xdr:col>2</xdr:col>
      <xdr:colOff>352425</xdr:colOff>
      <xdr:row>24</xdr:row>
      <xdr:rowOff>161924</xdr:rowOff>
    </xdr:to>
    <mc:AlternateContent xmlns:mc="http://schemas.openxmlformats.org/markup-compatibility/2006" xmlns:a14="http://schemas.microsoft.com/office/drawing/2010/main">
      <mc:Choice Requires="a14">
        <xdr:graphicFrame macro="">
          <xdr:nvGraphicFramePr>
            <xdr:cNvPr id="11" name="year 1">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7625" y="3581399"/>
              <a:ext cx="16764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123825</xdr:colOff>
      <xdr:row>2</xdr:row>
      <xdr:rowOff>142874</xdr:rowOff>
    </xdr:from>
    <xdr:to>
      <xdr:col>20</xdr:col>
      <xdr:colOff>314324</xdr:colOff>
      <xdr:row>17</xdr:row>
      <xdr:rowOff>180974</xdr:rowOff>
    </xdr:to>
    <xdr:graphicFrame macro="">
      <xdr:nvGraphicFramePr>
        <xdr:cNvPr id="13" name="Chart 12">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485774</xdr:colOff>
      <xdr:row>18</xdr:row>
      <xdr:rowOff>47624</xdr:rowOff>
    </xdr:from>
    <xdr:to>
      <xdr:col>16</xdr:col>
      <xdr:colOff>514349</xdr:colOff>
      <xdr:row>33</xdr:row>
      <xdr:rowOff>57149</xdr:rowOff>
    </xdr:to>
    <xdr:graphicFrame macro="">
      <xdr:nvGraphicFramePr>
        <xdr:cNvPr id="14" name="Chart 13">
          <a:extLst>
            <a:ext uri="{FF2B5EF4-FFF2-40B4-BE49-F238E27FC236}">
              <a16:creationId xmlns:a16="http://schemas.microsoft.com/office/drawing/2014/main" id="{AEEF5E2B-47E0-4EEE-8D48-4A772FD77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0.16875</cdr:x>
      <cdr:y>0</cdr:y>
    </cdr:from>
    <cdr:to>
      <cdr:x>0.81414</cdr:x>
      <cdr:y>0.15104</cdr:y>
    </cdr:to>
    <cdr:pic>
      <cdr:nvPicPr>
        <cdr:cNvPr id="3" name="chart">
          <a:extLst xmlns:a="http://schemas.openxmlformats.org/drawingml/2006/main">
            <a:ext uri="{FF2B5EF4-FFF2-40B4-BE49-F238E27FC236}">
              <a16:creationId xmlns:a16="http://schemas.microsoft.com/office/drawing/2014/main" id="{F88F0AD0-0C84-7C95-59EE-F61BED36805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771525" y="0"/>
          <a:ext cx="2950720" cy="414338"/>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267.472781944445" createdVersion="4" refreshedVersion="4" minRefreshableVersion="3" recordCount="1000" xr:uid="{00000000-000A-0000-FFFF-FFFF00000000}">
  <cacheSource type="worksheet">
    <worksheetSource name="Table1"/>
  </cacheSource>
  <cacheFields count="13">
    <cacheField name="Transaction ID" numFmtId="0">
      <sharedItems count="1000">
        <s v="RST-30001"/>
        <s v="RST-30002"/>
        <s v="RST-30003"/>
        <s v="RST-30004"/>
        <s v="RST-30005"/>
        <s v="RST-30006"/>
        <s v="RST-30007"/>
        <s v="RST-30008"/>
        <s v="RST-30009"/>
        <s v="RST-30010"/>
        <s v="RST-30011"/>
        <s v="RST-30012"/>
        <s v="RST-30013"/>
        <s v="RST-30014"/>
        <s v="RST-30015"/>
        <s v="RST-30016"/>
        <s v="RST-30017"/>
        <s v="RST-30018"/>
        <s v="RST-30019"/>
        <s v="RST-30020"/>
        <s v="RST-30021"/>
        <s v="RST-30022"/>
        <s v="RST-30023"/>
        <s v="RST-30024"/>
        <s v="RST-30025"/>
        <s v="RST-30026"/>
        <s v="RST-30027"/>
        <s v="RST-30028"/>
        <s v="RST-30029"/>
        <s v="RST-30030"/>
        <s v="RST-30031"/>
        <s v="RST-30032"/>
        <s v="RST-30033"/>
        <s v="RST-30034"/>
        <s v="RST-30035"/>
        <s v="RST-30036"/>
        <s v="RST-30037"/>
        <s v="RST-30038"/>
        <s v="RST-30039"/>
        <s v="RST-30040"/>
        <s v="RST-30041"/>
        <s v="RST-30042"/>
        <s v="RST-30043"/>
        <s v="RST-30044"/>
        <s v="RST-30045"/>
        <s v="RST-30046"/>
        <s v="RST-30047"/>
        <s v="RST-30048"/>
        <s v="RST-30049"/>
        <s v="RST-30050"/>
        <s v="RST-30051"/>
        <s v="RST-30052"/>
        <s v="RST-30053"/>
        <s v="RST-30054"/>
        <s v="RST-30055"/>
        <s v="RST-30056"/>
        <s v="RST-30057"/>
        <s v="RST-30058"/>
        <s v="RST-30059"/>
        <s v="RST-30060"/>
        <s v="RST-30061"/>
        <s v="RST-30062"/>
        <s v="RST-30063"/>
        <s v="RST-30064"/>
        <s v="RST-30065"/>
        <s v="RST-30066"/>
        <s v="RST-30067"/>
        <s v="RST-30068"/>
        <s v="RST-30069"/>
        <s v="RST-30070"/>
        <s v="RST-30071"/>
        <s v="RST-30072"/>
        <s v="RST-30073"/>
        <s v="RST-30074"/>
        <s v="RST-30075"/>
        <s v="RST-30076"/>
        <s v="RST-30077"/>
        <s v="RST-30078"/>
        <s v="RST-30079"/>
        <s v="RST-30080"/>
        <s v="RST-30081"/>
        <s v="RST-30082"/>
        <s v="RST-30083"/>
        <s v="RST-30084"/>
        <s v="RST-30085"/>
        <s v="RST-30086"/>
        <s v="RST-30087"/>
        <s v="RST-30088"/>
        <s v="RST-30089"/>
        <s v="RST-30090"/>
        <s v="RST-30091"/>
        <s v="RST-30092"/>
        <s v="RST-30093"/>
        <s v="RST-30094"/>
        <s v="RST-30095"/>
        <s v="RST-30096"/>
        <s v="RST-30097"/>
        <s v="RST-30098"/>
        <s v="RST-30099"/>
        <s v="RST-30100"/>
        <s v="RST-30101"/>
        <s v="RST-30102"/>
        <s v="RST-30103"/>
        <s v="RST-30104"/>
        <s v="RST-30105"/>
        <s v="RST-30106"/>
        <s v="RST-30107"/>
        <s v="RST-30108"/>
        <s v="RST-30109"/>
        <s v="RST-30110"/>
        <s v="RST-30111"/>
        <s v="RST-30112"/>
        <s v="RST-30113"/>
        <s v="RST-30114"/>
        <s v="RST-30115"/>
        <s v="RST-30116"/>
        <s v="RST-30117"/>
        <s v="RST-30118"/>
        <s v="RST-30119"/>
        <s v="RST-30120"/>
        <s v="RST-30121"/>
        <s v="RST-30122"/>
        <s v="RST-30123"/>
        <s v="RST-30124"/>
        <s v="RST-30125"/>
        <s v="RST-30126"/>
        <s v="RST-30127"/>
        <s v="RST-30128"/>
        <s v="RST-30129"/>
        <s v="RST-30130"/>
        <s v="RST-30131"/>
        <s v="RST-30132"/>
        <s v="RST-30133"/>
        <s v="RST-30134"/>
        <s v="RST-30135"/>
        <s v="RST-30136"/>
        <s v="RST-30137"/>
        <s v="RST-30138"/>
        <s v="RST-30139"/>
        <s v="RST-30140"/>
        <s v="RST-30141"/>
        <s v="RST-30142"/>
        <s v="RST-30143"/>
        <s v="RST-30144"/>
        <s v="RST-30145"/>
        <s v="RST-30146"/>
        <s v="RST-30147"/>
        <s v="RST-30148"/>
        <s v="RST-30149"/>
        <s v="RST-30150"/>
        <s v="RST-30151"/>
        <s v="RST-30152"/>
        <s v="RST-30153"/>
        <s v="RST-30154"/>
        <s v="RST-30155"/>
        <s v="RST-30156"/>
        <s v="RST-30157"/>
        <s v="RST-30158"/>
        <s v="RST-30159"/>
        <s v="RST-30160"/>
        <s v="RST-30161"/>
        <s v="RST-30162"/>
        <s v="RST-30163"/>
        <s v="RST-30164"/>
        <s v="RST-30165"/>
        <s v="RST-30166"/>
        <s v="RST-30167"/>
        <s v="RST-30168"/>
        <s v="RST-30169"/>
        <s v="RST-30170"/>
        <s v="RST-30171"/>
        <s v="RST-30172"/>
        <s v="RST-30173"/>
        <s v="RST-30174"/>
        <s v="RST-30175"/>
        <s v="RST-30176"/>
        <s v="RST-30177"/>
        <s v="RST-30178"/>
        <s v="RST-30179"/>
        <s v="RST-30180"/>
        <s v="RST-30181"/>
        <s v="RST-30182"/>
        <s v="RST-30183"/>
        <s v="RST-30184"/>
        <s v="RST-30185"/>
        <s v="RST-30186"/>
        <s v="RST-30187"/>
        <s v="RST-30188"/>
        <s v="RST-30189"/>
        <s v="RST-30190"/>
        <s v="RST-30191"/>
        <s v="RST-30192"/>
        <s v="RST-30193"/>
        <s v="RST-30194"/>
        <s v="RST-30195"/>
        <s v="RST-30196"/>
        <s v="RST-30197"/>
        <s v="RST-30198"/>
        <s v="RST-30199"/>
        <s v="RST-30200"/>
        <s v="RST-30201"/>
        <s v="RST-30202"/>
        <s v="RST-30203"/>
        <s v="RST-30204"/>
        <s v="RST-30205"/>
        <s v="RST-30206"/>
        <s v="RST-30207"/>
        <s v="RST-30208"/>
        <s v="RST-30209"/>
        <s v="RST-30210"/>
        <s v="RST-30211"/>
        <s v="RST-30212"/>
        <s v="RST-30213"/>
        <s v="RST-30214"/>
        <s v="RST-30215"/>
        <s v="RST-30216"/>
        <s v="RST-30217"/>
        <s v="RST-30218"/>
        <s v="RST-30219"/>
        <s v="RST-30220"/>
        <s v="RST-30221"/>
        <s v="RST-30222"/>
        <s v="RST-30223"/>
        <s v="RST-30224"/>
        <s v="RST-30225"/>
        <s v="RST-30226"/>
        <s v="RST-30227"/>
        <s v="RST-30228"/>
        <s v="RST-30229"/>
        <s v="RST-30230"/>
        <s v="RST-30231"/>
        <s v="RST-30232"/>
        <s v="RST-30233"/>
        <s v="RST-30234"/>
        <s v="RST-30235"/>
        <s v="RST-30236"/>
        <s v="RST-30237"/>
        <s v="RST-30238"/>
        <s v="RST-30239"/>
        <s v="RST-30240"/>
        <s v="RST-30241"/>
        <s v="RST-30242"/>
        <s v="RST-30243"/>
        <s v="RST-30244"/>
        <s v="RST-30245"/>
        <s v="RST-30246"/>
        <s v="RST-30247"/>
        <s v="RST-30248"/>
        <s v="RST-30249"/>
        <s v="RST-30250"/>
        <s v="RST-30251"/>
        <s v="RST-30252"/>
        <s v="RST-30253"/>
        <s v="RST-30254"/>
        <s v="RST-30255"/>
        <s v="RST-30256"/>
        <s v="RST-30257"/>
        <s v="RST-30258"/>
        <s v="RST-30259"/>
        <s v="RST-30260"/>
        <s v="RST-30261"/>
        <s v="RST-30262"/>
        <s v="RST-30263"/>
        <s v="RST-30264"/>
        <s v="RST-30265"/>
        <s v="RST-30266"/>
        <s v="RST-30267"/>
        <s v="RST-30268"/>
        <s v="RST-30269"/>
        <s v="RST-30270"/>
        <s v="RST-30271"/>
        <s v="RST-30272"/>
        <s v="RST-30273"/>
        <s v="RST-30274"/>
        <s v="RST-30275"/>
        <s v="RST-30276"/>
        <s v="RST-30277"/>
        <s v="RST-30278"/>
        <s v="RST-30279"/>
        <s v="RST-30280"/>
        <s v="RST-30281"/>
        <s v="RST-30282"/>
        <s v="RST-30283"/>
        <s v="RST-30284"/>
        <s v="RST-30285"/>
        <s v="RST-30286"/>
        <s v="RST-30287"/>
        <s v="RST-30288"/>
        <s v="RST-30289"/>
        <s v="RST-30290"/>
        <s v="RST-30291"/>
        <s v="RST-30292"/>
        <s v="RST-30293"/>
        <s v="RST-30294"/>
        <s v="RST-30295"/>
        <s v="RST-30296"/>
        <s v="RST-30297"/>
        <s v="RST-30298"/>
        <s v="RST-30299"/>
        <s v="RST-30300"/>
        <s v="RST-30301"/>
        <s v="RST-30302"/>
        <s v="RST-30303"/>
        <s v="RST-30304"/>
        <s v="RST-30305"/>
        <s v="RST-30306"/>
        <s v="RST-30307"/>
        <s v="RST-30308"/>
        <s v="RST-30309"/>
        <s v="RST-30310"/>
        <s v="RST-30311"/>
        <s v="RST-30312"/>
        <s v="RST-30313"/>
        <s v="RST-30314"/>
        <s v="RST-30315"/>
        <s v="RST-30316"/>
        <s v="RST-30317"/>
        <s v="RST-30318"/>
        <s v="RST-30319"/>
        <s v="RST-30320"/>
        <s v="RST-30321"/>
        <s v="RST-30322"/>
        <s v="RST-30323"/>
        <s v="RST-30324"/>
        <s v="RST-30325"/>
        <s v="RST-30326"/>
        <s v="RST-30327"/>
        <s v="RST-30328"/>
        <s v="RST-30329"/>
        <s v="RST-30330"/>
        <s v="RST-30331"/>
        <s v="RST-30332"/>
        <s v="RST-30333"/>
        <s v="RST-30334"/>
        <s v="RST-30335"/>
        <s v="RST-30336"/>
        <s v="RST-30337"/>
        <s v="RST-30338"/>
        <s v="RST-30339"/>
        <s v="RST-30340"/>
        <s v="RST-30341"/>
        <s v="RST-30342"/>
        <s v="RST-30343"/>
        <s v="RST-30344"/>
        <s v="RST-30345"/>
        <s v="RST-30346"/>
        <s v="RST-30347"/>
        <s v="RST-30348"/>
        <s v="RST-30349"/>
        <s v="RST-30350"/>
        <s v="RST-30351"/>
        <s v="RST-30352"/>
        <s v="RST-30353"/>
        <s v="RST-30354"/>
        <s v="RST-30355"/>
        <s v="RST-30356"/>
        <s v="RST-30357"/>
        <s v="RST-30358"/>
        <s v="RST-30359"/>
        <s v="RST-30360"/>
        <s v="RST-30361"/>
        <s v="RST-30362"/>
        <s v="RST-30363"/>
        <s v="RST-30364"/>
        <s v="RST-30365"/>
        <s v="RST-30366"/>
        <s v="RST-30367"/>
        <s v="RST-30368"/>
        <s v="RST-30369"/>
        <s v="RST-30370"/>
        <s v="RST-30371"/>
        <s v="RST-30372"/>
        <s v="RST-30373"/>
        <s v="RST-30374"/>
        <s v="RST-30375"/>
        <s v="RST-30376"/>
        <s v="RST-30377"/>
        <s v="RST-30378"/>
        <s v="RST-30379"/>
        <s v="RST-30380"/>
        <s v="RST-30381"/>
        <s v="RST-30382"/>
        <s v="RST-30383"/>
        <s v="RST-30384"/>
        <s v="RST-30385"/>
        <s v="RST-30386"/>
        <s v="RST-30387"/>
        <s v="RST-30388"/>
        <s v="RST-30389"/>
        <s v="RST-30390"/>
        <s v="RST-30391"/>
        <s v="RST-30392"/>
        <s v="RST-30393"/>
        <s v="RST-30394"/>
        <s v="RST-30395"/>
        <s v="RST-30396"/>
        <s v="RST-30397"/>
        <s v="RST-30398"/>
        <s v="RST-30399"/>
        <s v="RST-30400"/>
        <s v="RST-30401"/>
        <s v="RST-30402"/>
        <s v="RST-30403"/>
        <s v="RST-30404"/>
        <s v="RST-30405"/>
        <s v="RST-30406"/>
        <s v="RST-30407"/>
        <s v="RST-30408"/>
        <s v="RST-30409"/>
        <s v="RST-30410"/>
        <s v="RST-30411"/>
        <s v="RST-30412"/>
        <s v="RST-30413"/>
        <s v="RST-30414"/>
        <s v="RST-30415"/>
        <s v="RST-30416"/>
        <s v="RST-30417"/>
        <s v="RST-30418"/>
        <s v="RST-30419"/>
        <s v="RST-30420"/>
        <s v="RST-30421"/>
        <s v="RST-30422"/>
        <s v="RST-30423"/>
        <s v="RST-30424"/>
        <s v="RST-30425"/>
        <s v="RST-30426"/>
        <s v="RST-30427"/>
        <s v="RST-30428"/>
        <s v="RST-30429"/>
        <s v="RST-30430"/>
        <s v="RST-30431"/>
        <s v="RST-30432"/>
        <s v="RST-30433"/>
        <s v="RST-30434"/>
        <s v="RST-30435"/>
        <s v="RST-30436"/>
        <s v="RST-30437"/>
        <s v="RST-30438"/>
        <s v="RST-30439"/>
        <s v="RST-30440"/>
        <s v="RST-30441"/>
        <s v="RST-30442"/>
        <s v="RST-30443"/>
        <s v="RST-30444"/>
        <s v="RST-30445"/>
        <s v="RST-30446"/>
        <s v="RST-30447"/>
        <s v="RST-30448"/>
        <s v="RST-30449"/>
        <s v="RST-30450"/>
        <s v="RST-30451"/>
        <s v="RST-30452"/>
        <s v="RST-30453"/>
        <s v="RST-30454"/>
        <s v="RST-30455"/>
        <s v="RST-30456"/>
        <s v="RST-30457"/>
        <s v="RST-30458"/>
        <s v="RST-30459"/>
        <s v="RST-30460"/>
        <s v="RST-30461"/>
        <s v="RST-30462"/>
        <s v="RST-30463"/>
        <s v="RST-30464"/>
        <s v="RST-30465"/>
        <s v="RST-30466"/>
        <s v="RST-30467"/>
        <s v="RST-30468"/>
        <s v="RST-30469"/>
        <s v="RST-30470"/>
        <s v="RST-30471"/>
        <s v="RST-30472"/>
        <s v="RST-30473"/>
        <s v="RST-30474"/>
        <s v="RST-30475"/>
        <s v="RST-30476"/>
        <s v="RST-30477"/>
        <s v="RST-30478"/>
        <s v="RST-30479"/>
        <s v="RST-30480"/>
        <s v="RST-30481"/>
        <s v="RST-30482"/>
        <s v="RST-30483"/>
        <s v="RST-30484"/>
        <s v="RST-30485"/>
        <s v="RST-30486"/>
        <s v="RST-30487"/>
        <s v="RST-30488"/>
        <s v="RST-30489"/>
        <s v="RST-30490"/>
        <s v="RST-30491"/>
        <s v="RST-30492"/>
        <s v="RST-30493"/>
        <s v="RST-30494"/>
        <s v="RST-30495"/>
        <s v="RST-30496"/>
        <s v="RST-30497"/>
        <s v="RST-30498"/>
        <s v="RST-30499"/>
        <s v="RST-30500"/>
        <s v="RST-30501"/>
        <s v="RST-30502"/>
        <s v="RST-30503"/>
        <s v="RST-30504"/>
        <s v="RST-30505"/>
        <s v="RST-30506"/>
        <s v="RST-30507"/>
        <s v="RST-30508"/>
        <s v="RST-30509"/>
        <s v="RST-30510"/>
        <s v="RST-30511"/>
        <s v="RST-30512"/>
        <s v="RST-30513"/>
        <s v="RST-30514"/>
        <s v="RST-30515"/>
        <s v="RST-30516"/>
        <s v="RST-30517"/>
        <s v="RST-30518"/>
        <s v="RST-30519"/>
        <s v="RST-30520"/>
        <s v="RST-30521"/>
        <s v="RST-30522"/>
        <s v="RST-30523"/>
        <s v="RST-30524"/>
        <s v="RST-30525"/>
        <s v="RST-30526"/>
        <s v="RST-30527"/>
        <s v="RST-30528"/>
        <s v="RST-30529"/>
        <s v="RST-30530"/>
        <s v="RST-30531"/>
        <s v="RST-30532"/>
        <s v="RST-30533"/>
        <s v="RST-30534"/>
        <s v="RST-30535"/>
        <s v="RST-30536"/>
        <s v="RST-30537"/>
        <s v="RST-30538"/>
        <s v="RST-30539"/>
        <s v="RST-30540"/>
        <s v="RST-30541"/>
        <s v="RST-30542"/>
        <s v="RST-30543"/>
        <s v="RST-30544"/>
        <s v="RST-30545"/>
        <s v="RST-30546"/>
        <s v="RST-30547"/>
        <s v="RST-30548"/>
        <s v="RST-30549"/>
        <s v="RST-30550"/>
        <s v="RST-30551"/>
        <s v="RST-30552"/>
        <s v="RST-30553"/>
        <s v="RST-30554"/>
        <s v="RST-30555"/>
        <s v="RST-30556"/>
        <s v="RST-30557"/>
        <s v="RST-30558"/>
        <s v="RST-30559"/>
        <s v="RST-30560"/>
        <s v="RST-30561"/>
        <s v="RST-30562"/>
        <s v="RST-30563"/>
        <s v="RST-30564"/>
        <s v="RST-30565"/>
        <s v="RST-30566"/>
        <s v="RST-30567"/>
        <s v="RST-30568"/>
        <s v="RST-30569"/>
        <s v="RST-30570"/>
        <s v="RST-30571"/>
        <s v="RST-30572"/>
        <s v="RST-30573"/>
        <s v="RST-30574"/>
        <s v="RST-30575"/>
        <s v="RST-30576"/>
        <s v="RST-30577"/>
        <s v="RST-30578"/>
        <s v="RST-30579"/>
        <s v="RST-30580"/>
        <s v="RST-30581"/>
        <s v="RST-30582"/>
        <s v="RST-30583"/>
        <s v="RST-30584"/>
        <s v="RST-30585"/>
        <s v="RST-30586"/>
        <s v="RST-30587"/>
        <s v="RST-30588"/>
        <s v="RST-30589"/>
        <s v="RST-30590"/>
        <s v="RST-30591"/>
        <s v="RST-30592"/>
        <s v="RST-30593"/>
        <s v="RST-30594"/>
        <s v="RST-30595"/>
        <s v="RST-30596"/>
        <s v="RST-30597"/>
        <s v="RST-30598"/>
        <s v="RST-30599"/>
        <s v="RST-30600"/>
        <s v="RST-30601"/>
        <s v="RST-30602"/>
        <s v="RST-30603"/>
        <s v="RST-30604"/>
        <s v="RST-30605"/>
        <s v="RST-30606"/>
        <s v="RST-30607"/>
        <s v="RST-30608"/>
        <s v="RST-30609"/>
        <s v="RST-30610"/>
        <s v="RST-30611"/>
        <s v="RST-30612"/>
        <s v="RST-30613"/>
        <s v="RST-30614"/>
        <s v="RST-30615"/>
        <s v="RST-30616"/>
        <s v="RST-30617"/>
        <s v="RST-30618"/>
        <s v="RST-30619"/>
        <s v="RST-30620"/>
        <s v="RST-30621"/>
        <s v="RST-30622"/>
        <s v="RST-30623"/>
        <s v="RST-30624"/>
        <s v="RST-30625"/>
        <s v="RST-30626"/>
        <s v="RST-30627"/>
        <s v="RST-30628"/>
        <s v="RST-30629"/>
        <s v="RST-30630"/>
        <s v="RST-30631"/>
        <s v="RST-30632"/>
        <s v="RST-30633"/>
        <s v="RST-30634"/>
        <s v="RST-30635"/>
        <s v="RST-30636"/>
        <s v="RST-30637"/>
        <s v="RST-30638"/>
        <s v="RST-30639"/>
        <s v="RST-30640"/>
        <s v="RST-30641"/>
        <s v="RST-30642"/>
        <s v="RST-30643"/>
        <s v="RST-30644"/>
        <s v="RST-30645"/>
        <s v="RST-30646"/>
        <s v="RST-30647"/>
        <s v="RST-30648"/>
        <s v="RST-30649"/>
        <s v="RST-30650"/>
        <s v="RST-30651"/>
        <s v="RST-30652"/>
        <s v="RST-30653"/>
        <s v="RST-30654"/>
        <s v="RST-30655"/>
        <s v="RST-30656"/>
        <s v="RST-30657"/>
        <s v="RST-30658"/>
        <s v="RST-30659"/>
        <s v="RST-30660"/>
        <s v="RST-30661"/>
        <s v="RST-30662"/>
        <s v="RST-30663"/>
        <s v="RST-30664"/>
        <s v="RST-30665"/>
        <s v="RST-30666"/>
        <s v="RST-30667"/>
        <s v="RST-30668"/>
        <s v="RST-30669"/>
        <s v="RST-30670"/>
        <s v="RST-30671"/>
        <s v="RST-30672"/>
        <s v="RST-30673"/>
        <s v="RST-30674"/>
        <s v="RST-30675"/>
        <s v="RST-30676"/>
        <s v="RST-30677"/>
        <s v="RST-30678"/>
        <s v="RST-30679"/>
        <s v="RST-30680"/>
        <s v="RST-30681"/>
        <s v="RST-30682"/>
        <s v="RST-30683"/>
        <s v="RST-30684"/>
        <s v="RST-30685"/>
        <s v="RST-30686"/>
        <s v="RST-30687"/>
        <s v="RST-30688"/>
        <s v="RST-30689"/>
        <s v="RST-30690"/>
        <s v="RST-30691"/>
        <s v="RST-30692"/>
        <s v="RST-30693"/>
        <s v="RST-30694"/>
        <s v="RST-30695"/>
        <s v="RST-30696"/>
        <s v="RST-30697"/>
        <s v="RST-30698"/>
        <s v="RST-30699"/>
        <s v="RST-30700"/>
        <s v="RST-30701"/>
        <s v="RST-30702"/>
        <s v="RST-30703"/>
        <s v="RST-30704"/>
        <s v="RST-30705"/>
        <s v="RST-30706"/>
        <s v="RST-30707"/>
        <s v="RST-30708"/>
        <s v="RST-30709"/>
        <s v="RST-30710"/>
        <s v="RST-30711"/>
        <s v="RST-30712"/>
        <s v="RST-30713"/>
        <s v="RST-30714"/>
        <s v="RST-30715"/>
        <s v="RST-30716"/>
        <s v="RST-30717"/>
        <s v="RST-30718"/>
        <s v="RST-30719"/>
        <s v="RST-30720"/>
        <s v="RST-30721"/>
        <s v="RST-30722"/>
        <s v="RST-30723"/>
        <s v="RST-30724"/>
        <s v="RST-30725"/>
        <s v="RST-30726"/>
        <s v="RST-30727"/>
        <s v="RST-30728"/>
        <s v="RST-30729"/>
        <s v="RST-30730"/>
        <s v="RST-30731"/>
        <s v="RST-30732"/>
        <s v="RST-30733"/>
        <s v="RST-30734"/>
        <s v="RST-30735"/>
        <s v="RST-30736"/>
        <s v="RST-30737"/>
        <s v="RST-30738"/>
        <s v="RST-30739"/>
        <s v="RST-30740"/>
        <s v="RST-30741"/>
        <s v="RST-30742"/>
        <s v="RST-30743"/>
        <s v="RST-30744"/>
        <s v="RST-30745"/>
        <s v="RST-30746"/>
        <s v="RST-30747"/>
        <s v="RST-30748"/>
        <s v="RST-30749"/>
        <s v="RST-30750"/>
        <s v="RST-30751"/>
        <s v="RST-30752"/>
        <s v="RST-30753"/>
        <s v="RST-30754"/>
        <s v="RST-30755"/>
        <s v="RST-30756"/>
        <s v="RST-30757"/>
        <s v="RST-30758"/>
        <s v="RST-30759"/>
        <s v="RST-30760"/>
        <s v="RST-30761"/>
        <s v="RST-30762"/>
        <s v="RST-30763"/>
        <s v="RST-30764"/>
        <s v="RST-30765"/>
        <s v="RST-30766"/>
        <s v="RST-30767"/>
        <s v="RST-30768"/>
        <s v="RST-30769"/>
        <s v="RST-30770"/>
        <s v="RST-30771"/>
        <s v="RST-30772"/>
        <s v="RST-30773"/>
        <s v="RST-30774"/>
        <s v="RST-30775"/>
        <s v="RST-30776"/>
        <s v="RST-30777"/>
        <s v="RST-30778"/>
        <s v="RST-30779"/>
        <s v="RST-30780"/>
        <s v="RST-30781"/>
        <s v="RST-30782"/>
        <s v="RST-30783"/>
        <s v="RST-30784"/>
        <s v="RST-30785"/>
        <s v="RST-30786"/>
        <s v="RST-30787"/>
        <s v="RST-30788"/>
        <s v="RST-30789"/>
        <s v="RST-30790"/>
        <s v="RST-30791"/>
        <s v="RST-30792"/>
        <s v="RST-30793"/>
        <s v="RST-30794"/>
        <s v="RST-30795"/>
        <s v="RST-30796"/>
        <s v="RST-30797"/>
        <s v="RST-30798"/>
        <s v="RST-30799"/>
        <s v="RST-30800"/>
        <s v="RST-30801"/>
        <s v="RST-30802"/>
        <s v="RST-30803"/>
        <s v="RST-30804"/>
        <s v="RST-30805"/>
        <s v="RST-30806"/>
        <s v="RST-30807"/>
        <s v="RST-30808"/>
        <s v="RST-30809"/>
        <s v="RST-30810"/>
        <s v="RST-30811"/>
        <s v="RST-30812"/>
        <s v="RST-30813"/>
        <s v="RST-30814"/>
        <s v="RST-30815"/>
        <s v="RST-30816"/>
        <s v="RST-30817"/>
        <s v="RST-30818"/>
        <s v="RST-30819"/>
        <s v="RST-30820"/>
        <s v="RST-30821"/>
        <s v="RST-30822"/>
        <s v="RST-30823"/>
        <s v="RST-30824"/>
        <s v="RST-30825"/>
        <s v="RST-30826"/>
        <s v="RST-30827"/>
        <s v="RST-30828"/>
        <s v="RST-30829"/>
        <s v="RST-30830"/>
        <s v="RST-30831"/>
        <s v="RST-30832"/>
        <s v="RST-30833"/>
        <s v="RST-30834"/>
        <s v="RST-30835"/>
        <s v="RST-30836"/>
        <s v="RST-30837"/>
        <s v="RST-30838"/>
        <s v="RST-30839"/>
        <s v="RST-30840"/>
        <s v="RST-30841"/>
        <s v="RST-30842"/>
        <s v="RST-30843"/>
        <s v="RST-30844"/>
        <s v="RST-30845"/>
        <s v="RST-30846"/>
        <s v="RST-30847"/>
        <s v="RST-30848"/>
        <s v="RST-30849"/>
        <s v="RST-30850"/>
        <s v="RST-30851"/>
        <s v="RST-30852"/>
        <s v="RST-30853"/>
        <s v="RST-30854"/>
        <s v="RST-30855"/>
        <s v="RST-30856"/>
        <s v="RST-30857"/>
        <s v="RST-30858"/>
        <s v="RST-30859"/>
        <s v="RST-30860"/>
        <s v="RST-30861"/>
        <s v="RST-30862"/>
        <s v="RST-30863"/>
        <s v="RST-30864"/>
        <s v="RST-30865"/>
        <s v="RST-30866"/>
        <s v="RST-30867"/>
        <s v="RST-30868"/>
        <s v="RST-30869"/>
        <s v="RST-30870"/>
        <s v="RST-30871"/>
        <s v="RST-30872"/>
        <s v="RST-30873"/>
        <s v="RST-30874"/>
        <s v="RST-30875"/>
        <s v="RST-30876"/>
        <s v="RST-30877"/>
        <s v="RST-30878"/>
        <s v="RST-30879"/>
        <s v="RST-30880"/>
        <s v="RST-30881"/>
        <s v="RST-30882"/>
        <s v="RST-30883"/>
        <s v="RST-30884"/>
        <s v="RST-30885"/>
        <s v="RST-30886"/>
        <s v="RST-30887"/>
        <s v="RST-30888"/>
        <s v="RST-30889"/>
        <s v="RST-30890"/>
        <s v="RST-30891"/>
        <s v="RST-30892"/>
        <s v="RST-30893"/>
        <s v="RST-30894"/>
        <s v="RST-30895"/>
        <s v="RST-30896"/>
        <s v="RST-30897"/>
        <s v="RST-30898"/>
        <s v="RST-30899"/>
        <s v="RST-30900"/>
        <s v="RST-30901"/>
        <s v="RST-30902"/>
        <s v="RST-30903"/>
        <s v="RST-30904"/>
        <s v="RST-30905"/>
        <s v="RST-30906"/>
        <s v="RST-30907"/>
        <s v="RST-30908"/>
        <s v="RST-30909"/>
        <s v="RST-30910"/>
        <s v="RST-30911"/>
        <s v="RST-30912"/>
        <s v="RST-30913"/>
        <s v="RST-30914"/>
        <s v="RST-30915"/>
        <s v="RST-30916"/>
        <s v="RST-30917"/>
        <s v="RST-30918"/>
        <s v="RST-30919"/>
        <s v="RST-30920"/>
        <s v="RST-30921"/>
        <s v="RST-30922"/>
        <s v="RST-30923"/>
        <s v="RST-30924"/>
        <s v="RST-30925"/>
        <s v="RST-30926"/>
        <s v="RST-30927"/>
        <s v="RST-30928"/>
        <s v="RST-30929"/>
        <s v="RST-30930"/>
        <s v="RST-30931"/>
        <s v="RST-30932"/>
        <s v="RST-30933"/>
        <s v="RST-30934"/>
        <s v="RST-30935"/>
        <s v="RST-30936"/>
        <s v="RST-30937"/>
        <s v="RST-30938"/>
        <s v="RST-30939"/>
        <s v="RST-30940"/>
        <s v="RST-30941"/>
        <s v="RST-30942"/>
        <s v="RST-30943"/>
        <s v="RST-30944"/>
        <s v="RST-30945"/>
        <s v="RST-30946"/>
        <s v="RST-30947"/>
        <s v="RST-30948"/>
        <s v="RST-30949"/>
        <s v="RST-30950"/>
        <s v="RST-30951"/>
        <s v="RST-30952"/>
        <s v="RST-30953"/>
        <s v="RST-30954"/>
        <s v="RST-30955"/>
        <s v="RST-30956"/>
        <s v="RST-30957"/>
        <s v="RST-30958"/>
        <s v="RST-30959"/>
        <s v="RST-30960"/>
        <s v="RST-30961"/>
        <s v="RST-30962"/>
        <s v="RST-30963"/>
        <s v="RST-30964"/>
        <s v="RST-30965"/>
        <s v="RST-30966"/>
        <s v="RST-30967"/>
        <s v="RST-30968"/>
        <s v="RST-30969"/>
        <s v="RST-30970"/>
        <s v="RST-30971"/>
        <s v="RST-30972"/>
        <s v="RST-30973"/>
        <s v="RST-30974"/>
        <s v="RST-30975"/>
        <s v="RST-30976"/>
        <s v="RST-30977"/>
        <s v="RST-30978"/>
        <s v="RST-30979"/>
        <s v="RST-30980"/>
        <s v="RST-30981"/>
        <s v="RST-30982"/>
        <s v="RST-30983"/>
        <s v="RST-30984"/>
        <s v="RST-30985"/>
        <s v="RST-30986"/>
        <s v="RST-30987"/>
        <s v="RST-30988"/>
        <s v="RST-30989"/>
        <s v="RST-30990"/>
        <s v="RST-30991"/>
        <s v="RST-30992"/>
        <s v="RST-30993"/>
        <s v="RST-30994"/>
        <s v="RST-30995"/>
        <s v="RST-30996"/>
        <s v="RST-30997"/>
        <s v="RST-30998"/>
        <s v="RST-30999"/>
        <s v="RST-31000"/>
      </sharedItems>
    </cacheField>
    <cacheField name="Order Date" numFmtId="165">
      <sharedItems containsSemiMixedTypes="0" containsNonDate="0" containsDate="1" containsString="0" minDate="2024-01-01T00:00:00" maxDate="2025-12-31T00:00:00"/>
    </cacheField>
    <cacheField name="month" numFmtId="165">
      <sharedItems count="12">
        <s v="Jul"/>
        <s v="Sep"/>
        <s v="Apr"/>
        <s v="Jun"/>
        <s v="May"/>
        <s v="Nov"/>
        <s v="Oct"/>
        <s v="Dec"/>
        <s v="Feb"/>
        <s v="Jan"/>
        <s v="Aug"/>
        <s v="Mar"/>
      </sharedItems>
    </cacheField>
    <cacheField name="year" numFmtId="165">
      <sharedItems count="2">
        <s v="2024"/>
        <s v="2025"/>
      </sharedItems>
    </cacheField>
    <cacheField name="Restaurant Location" numFmtId="0">
      <sharedItems count="10">
        <s v="Coral Gables"/>
        <s v="Chicago Loop"/>
        <s v="Midtown East"/>
        <s v="Lincoln Park"/>
        <s v="Austin South Congress"/>
        <s v="Downtown Manhattan"/>
        <s v="Miami Beach"/>
        <s v="Upper West Side"/>
        <s v="Brooklyn Heights"/>
        <s v="Austin Downtown"/>
      </sharedItems>
    </cacheField>
    <cacheField name="Order Type" numFmtId="0">
      <sharedItems count="3">
        <s v="Delivery"/>
        <s v="Takeaway"/>
        <s v="Dine-In"/>
      </sharedItems>
    </cacheField>
    <cacheField name="Menu Item" numFmtId="0">
      <sharedItems count="25">
        <s v="Chicken Parmesan"/>
        <s v="House Wine"/>
        <s v="Soup of the Day"/>
        <s v="Sparkling Water"/>
        <s v="Craft Beer"/>
        <s v="Mushroom Risotto"/>
        <s v="Grilled Salmon"/>
        <s v="Caesar Salad"/>
        <s v="Bruschetta"/>
        <s v="NY Strip Steak"/>
        <s v="BBQ Ribs"/>
        <s v="Smoothie"/>
        <s v="Mozzarella Sticks"/>
        <s v="Burger Deluxe"/>
        <s v="Spring Rolls"/>
        <s v="Ice Cream Sundae"/>
        <s v="Apple Pie"/>
        <s v="Pasta Primavera"/>
        <s v="Cheesecake"/>
        <s v="Fish &amp; Chips"/>
        <s v="Iced Coffee"/>
        <s v="Fresh Lemonade"/>
        <s v="Buffalo Wings"/>
        <s v="Chocolate Lava Cake"/>
        <s v="Tiramisu"/>
      </sharedItems>
    </cacheField>
    <cacheField name="Category" numFmtId="0">
      <sharedItems count="4">
        <s v="Main"/>
        <s v="Beverage"/>
        <s v="Appetizer"/>
        <s v="Dessert"/>
      </sharedItems>
    </cacheField>
    <cacheField name="Quantity" numFmtId="0">
      <sharedItems containsSemiMixedTypes="0" containsString="0" containsNumber="1" containsInteger="1" minValue="1" maxValue="4"/>
    </cacheField>
    <cacheField name="Unit Price" numFmtId="164">
      <sharedItems containsSemiMixedTypes="0" containsString="0" containsNumber="1" minValue="3.49" maxValue="32.99"/>
    </cacheField>
    <cacheField name="Order Total" numFmtId="164">
      <sharedItems containsSemiMixedTypes="0" containsString="0" containsNumber="1" minValue="3.49" maxValue="131.96"/>
    </cacheField>
    <cacheField name="Customer Rating" numFmtId="0">
      <sharedItems containsSemiMixedTypes="0" containsString="0" containsNumber="1" containsInteger="1" minValue="1" maxValue="5"/>
    </cacheField>
    <cacheField name="Rating type" numFmtId="0">
      <sharedItems count="2">
        <s v="Good"/>
        <s v="Averag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d v="2024-07-05T00:00:00"/>
    <x v="0"/>
    <x v="0"/>
    <x v="0"/>
    <x v="0"/>
    <x v="0"/>
    <x v="0"/>
    <n v="2"/>
    <n v="18.989999999999998"/>
    <n v="37.979999999999997"/>
    <n v="4"/>
    <x v="0"/>
  </r>
  <r>
    <x v="1"/>
    <d v="2024-09-22T00:00:00"/>
    <x v="1"/>
    <x v="0"/>
    <x v="1"/>
    <x v="1"/>
    <x v="1"/>
    <x v="1"/>
    <n v="1"/>
    <n v="9.99"/>
    <n v="9.99"/>
    <n v="4"/>
    <x v="0"/>
  </r>
  <r>
    <x v="2"/>
    <d v="2025-04-20T00:00:00"/>
    <x v="2"/>
    <x v="1"/>
    <x v="2"/>
    <x v="1"/>
    <x v="2"/>
    <x v="2"/>
    <n v="3"/>
    <n v="8.99"/>
    <n v="26.97"/>
    <n v="5"/>
    <x v="0"/>
  </r>
  <r>
    <x v="3"/>
    <d v="2024-06-28T00:00:00"/>
    <x v="3"/>
    <x v="0"/>
    <x v="3"/>
    <x v="0"/>
    <x v="3"/>
    <x v="1"/>
    <n v="2"/>
    <n v="3.49"/>
    <n v="6.98"/>
    <n v="5"/>
    <x v="0"/>
  </r>
  <r>
    <x v="4"/>
    <d v="2025-07-05T00:00:00"/>
    <x v="0"/>
    <x v="1"/>
    <x v="4"/>
    <x v="2"/>
    <x v="4"/>
    <x v="1"/>
    <n v="1"/>
    <n v="7.99"/>
    <n v="7.99"/>
    <n v="3"/>
    <x v="0"/>
  </r>
  <r>
    <x v="5"/>
    <d v="2025-05-15T00:00:00"/>
    <x v="4"/>
    <x v="1"/>
    <x v="5"/>
    <x v="0"/>
    <x v="2"/>
    <x v="2"/>
    <n v="1"/>
    <n v="8.99"/>
    <n v="8.99"/>
    <n v="3"/>
    <x v="0"/>
  </r>
  <r>
    <x v="6"/>
    <d v="2024-05-26T00:00:00"/>
    <x v="4"/>
    <x v="0"/>
    <x v="6"/>
    <x v="2"/>
    <x v="0"/>
    <x v="0"/>
    <n v="1"/>
    <n v="18.989999999999998"/>
    <n v="18.989999999999998"/>
    <n v="4"/>
    <x v="0"/>
  </r>
  <r>
    <x v="7"/>
    <d v="2025-11-22T00:00:00"/>
    <x v="5"/>
    <x v="1"/>
    <x v="5"/>
    <x v="1"/>
    <x v="5"/>
    <x v="0"/>
    <n v="2"/>
    <n v="16.989999999999998"/>
    <n v="33.979999999999997"/>
    <n v="4"/>
    <x v="0"/>
  </r>
  <r>
    <x v="8"/>
    <d v="2024-10-10T00:00:00"/>
    <x v="6"/>
    <x v="0"/>
    <x v="7"/>
    <x v="2"/>
    <x v="6"/>
    <x v="0"/>
    <n v="3"/>
    <n v="24.99"/>
    <n v="74.97"/>
    <n v="4"/>
    <x v="0"/>
  </r>
  <r>
    <x v="9"/>
    <d v="2024-12-28T00:00:00"/>
    <x v="7"/>
    <x v="0"/>
    <x v="4"/>
    <x v="2"/>
    <x v="7"/>
    <x v="2"/>
    <n v="1"/>
    <n v="12.99"/>
    <n v="12.99"/>
    <n v="3"/>
    <x v="0"/>
  </r>
  <r>
    <x v="10"/>
    <d v="2025-05-09T00:00:00"/>
    <x v="4"/>
    <x v="1"/>
    <x v="0"/>
    <x v="2"/>
    <x v="8"/>
    <x v="2"/>
    <n v="2"/>
    <n v="11.99"/>
    <n v="23.98"/>
    <n v="5"/>
    <x v="0"/>
  </r>
  <r>
    <x v="11"/>
    <d v="2024-05-03T00:00:00"/>
    <x v="4"/>
    <x v="0"/>
    <x v="8"/>
    <x v="2"/>
    <x v="9"/>
    <x v="0"/>
    <n v="1"/>
    <n v="32.99"/>
    <n v="32.99"/>
    <n v="3"/>
    <x v="0"/>
  </r>
  <r>
    <x v="12"/>
    <d v="2024-02-17T00:00:00"/>
    <x v="8"/>
    <x v="0"/>
    <x v="7"/>
    <x v="2"/>
    <x v="8"/>
    <x v="2"/>
    <n v="1"/>
    <n v="11.99"/>
    <n v="11.99"/>
    <n v="4"/>
    <x v="0"/>
  </r>
  <r>
    <x v="13"/>
    <d v="2024-04-15T00:00:00"/>
    <x v="2"/>
    <x v="0"/>
    <x v="5"/>
    <x v="0"/>
    <x v="4"/>
    <x v="1"/>
    <n v="1"/>
    <n v="7.99"/>
    <n v="7.99"/>
    <n v="4"/>
    <x v="0"/>
  </r>
  <r>
    <x v="14"/>
    <d v="2025-12-07T00:00:00"/>
    <x v="7"/>
    <x v="1"/>
    <x v="3"/>
    <x v="1"/>
    <x v="10"/>
    <x v="0"/>
    <n v="4"/>
    <n v="22.99"/>
    <n v="91.96"/>
    <n v="4"/>
    <x v="0"/>
  </r>
  <r>
    <x v="15"/>
    <d v="2025-06-13T00:00:00"/>
    <x v="3"/>
    <x v="1"/>
    <x v="5"/>
    <x v="1"/>
    <x v="11"/>
    <x v="1"/>
    <n v="2"/>
    <n v="6.99"/>
    <n v="13.98"/>
    <n v="4"/>
    <x v="0"/>
  </r>
  <r>
    <x v="16"/>
    <d v="2024-04-27T00:00:00"/>
    <x v="2"/>
    <x v="0"/>
    <x v="6"/>
    <x v="0"/>
    <x v="11"/>
    <x v="1"/>
    <n v="1"/>
    <n v="6.99"/>
    <n v="6.99"/>
    <n v="3"/>
    <x v="0"/>
  </r>
  <r>
    <x v="17"/>
    <d v="2025-05-31T00:00:00"/>
    <x v="4"/>
    <x v="1"/>
    <x v="5"/>
    <x v="0"/>
    <x v="12"/>
    <x v="2"/>
    <n v="1"/>
    <n v="10.99"/>
    <n v="10.99"/>
    <n v="5"/>
    <x v="0"/>
  </r>
  <r>
    <x v="18"/>
    <d v="2024-12-22T00:00:00"/>
    <x v="7"/>
    <x v="0"/>
    <x v="2"/>
    <x v="2"/>
    <x v="13"/>
    <x v="0"/>
    <n v="1"/>
    <n v="15.99"/>
    <n v="15.99"/>
    <n v="4"/>
    <x v="0"/>
  </r>
  <r>
    <x v="19"/>
    <d v="2024-01-16T00:00:00"/>
    <x v="9"/>
    <x v="0"/>
    <x v="4"/>
    <x v="0"/>
    <x v="9"/>
    <x v="0"/>
    <n v="1"/>
    <n v="32.99"/>
    <n v="32.99"/>
    <n v="4"/>
    <x v="0"/>
  </r>
  <r>
    <x v="20"/>
    <d v="2025-07-09T00:00:00"/>
    <x v="0"/>
    <x v="1"/>
    <x v="3"/>
    <x v="0"/>
    <x v="6"/>
    <x v="0"/>
    <n v="2"/>
    <n v="24.99"/>
    <n v="49.98"/>
    <n v="5"/>
    <x v="0"/>
  </r>
  <r>
    <x v="21"/>
    <d v="2024-12-27T00:00:00"/>
    <x v="7"/>
    <x v="0"/>
    <x v="1"/>
    <x v="2"/>
    <x v="1"/>
    <x v="1"/>
    <n v="1"/>
    <n v="9.99"/>
    <n v="9.99"/>
    <n v="5"/>
    <x v="0"/>
  </r>
  <r>
    <x v="22"/>
    <d v="2024-01-26T00:00:00"/>
    <x v="9"/>
    <x v="0"/>
    <x v="6"/>
    <x v="1"/>
    <x v="14"/>
    <x v="2"/>
    <n v="3"/>
    <n v="9.99"/>
    <n v="29.97"/>
    <n v="4"/>
    <x v="0"/>
  </r>
  <r>
    <x v="23"/>
    <d v="2025-07-01T00:00:00"/>
    <x v="0"/>
    <x v="1"/>
    <x v="7"/>
    <x v="1"/>
    <x v="4"/>
    <x v="1"/>
    <n v="1"/>
    <n v="7.99"/>
    <n v="7.99"/>
    <n v="5"/>
    <x v="0"/>
  </r>
  <r>
    <x v="24"/>
    <d v="2024-07-11T00:00:00"/>
    <x v="0"/>
    <x v="0"/>
    <x v="0"/>
    <x v="2"/>
    <x v="8"/>
    <x v="2"/>
    <n v="2"/>
    <n v="11.99"/>
    <n v="23.98"/>
    <n v="4"/>
    <x v="0"/>
  </r>
  <r>
    <x v="25"/>
    <d v="2025-05-29T00:00:00"/>
    <x v="4"/>
    <x v="1"/>
    <x v="5"/>
    <x v="0"/>
    <x v="15"/>
    <x v="3"/>
    <n v="2"/>
    <n v="7.99"/>
    <n v="15.98"/>
    <n v="4"/>
    <x v="0"/>
  </r>
  <r>
    <x v="26"/>
    <d v="2024-05-15T00:00:00"/>
    <x v="4"/>
    <x v="0"/>
    <x v="1"/>
    <x v="2"/>
    <x v="16"/>
    <x v="3"/>
    <n v="2"/>
    <n v="8.99"/>
    <n v="17.98"/>
    <n v="4"/>
    <x v="0"/>
  </r>
  <r>
    <x v="27"/>
    <d v="2025-07-17T00:00:00"/>
    <x v="0"/>
    <x v="1"/>
    <x v="5"/>
    <x v="2"/>
    <x v="5"/>
    <x v="0"/>
    <n v="1"/>
    <n v="16.989999999999998"/>
    <n v="16.989999999999998"/>
    <n v="5"/>
    <x v="0"/>
  </r>
  <r>
    <x v="28"/>
    <d v="2024-02-26T00:00:00"/>
    <x v="8"/>
    <x v="0"/>
    <x v="4"/>
    <x v="1"/>
    <x v="7"/>
    <x v="2"/>
    <n v="1"/>
    <n v="12.99"/>
    <n v="12.99"/>
    <n v="3"/>
    <x v="0"/>
  </r>
  <r>
    <x v="29"/>
    <d v="2024-08-19T00:00:00"/>
    <x v="10"/>
    <x v="0"/>
    <x v="1"/>
    <x v="0"/>
    <x v="0"/>
    <x v="0"/>
    <n v="3"/>
    <n v="18.989999999999998"/>
    <n v="56.97"/>
    <n v="4"/>
    <x v="0"/>
  </r>
  <r>
    <x v="30"/>
    <d v="2024-06-14T00:00:00"/>
    <x v="3"/>
    <x v="0"/>
    <x v="5"/>
    <x v="1"/>
    <x v="17"/>
    <x v="0"/>
    <n v="2"/>
    <n v="14.99"/>
    <n v="29.98"/>
    <n v="5"/>
    <x v="0"/>
  </r>
  <r>
    <x v="31"/>
    <d v="2024-06-19T00:00:00"/>
    <x v="3"/>
    <x v="0"/>
    <x v="2"/>
    <x v="0"/>
    <x v="6"/>
    <x v="0"/>
    <n v="3"/>
    <n v="24.99"/>
    <n v="74.97"/>
    <n v="5"/>
    <x v="0"/>
  </r>
  <r>
    <x v="32"/>
    <d v="2025-10-23T00:00:00"/>
    <x v="6"/>
    <x v="1"/>
    <x v="8"/>
    <x v="0"/>
    <x v="13"/>
    <x v="0"/>
    <n v="1"/>
    <n v="15.99"/>
    <n v="15.99"/>
    <n v="5"/>
    <x v="0"/>
  </r>
  <r>
    <x v="33"/>
    <d v="2025-09-10T00:00:00"/>
    <x v="1"/>
    <x v="1"/>
    <x v="3"/>
    <x v="2"/>
    <x v="5"/>
    <x v="0"/>
    <n v="2"/>
    <n v="16.989999999999998"/>
    <n v="33.979999999999997"/>
    <n v="4"/>
    <x v="0"/>
  </r>
  <r>
    <x v="34"/>
    <d v="2024-11-03T00:00:00"/>
    <x v="5"/>
    <x v="0"/>
    <x v="2"/>
    <x v="1"/>
    <x v="18"/>
    <x v="3"/>
    <n v="1"/>
    <n v="10.99"/>
    <n v="10.99"/>
    <n v="4"/>
    <x v="0"/>
  </r>
  <r>
    <x v="35"/>
    <d v="2024-10-18T00:00:00"/>
    <x v="6"/>
    <x v="0"/>
    <x v="4"/>
    <x v="2"/>
    <x v="17"/>
    <x v="0"/>
    <n v="1"/>
    <n v="14.99"/>
    <n v="14.99"/>
    <n v="5"/>
    <x v="0"/>
  </r>
  <r>
    <x v="36"/>
    <d v="2025-02-09T00:00:00"/>
    <x v="8"/>
    <x v="1"/>
    <x v="5"/>
    <x v="2"/>
    <x v="10"/>
    <x v="0"/>
    <n v="1"/>
    <n v="22.99"/>
    <n v="22.99"/>
    <n v="4"/>
    <x v="0"/>
  </r>
  <r>
    <x v="37"/>
    <d v="2024-12-17T00:00:00"/>
    <x v="7"/>
    <x v="0"/>
    <x v="6"/>
    <x v="2"/>
    <x v="19"/>
    <x v="0"/>
    <n v="2"/>
    <n v="17.989999999999998"/>
    <n v="35.979999999999997"/>
    <n v="5"/>
    <x v="0"/>
  </r>
  <r>
    <x v="38"/>
    <d v="2025-05-21T00:00:00"/>
    <x v="4"/>
    <x v="1"/>
    <x v="1"/>
    <x v="1"/>
    <x v="8"/>
    <x v="2"/>
    <n v="3"/>
    <n v="11.99"/>
    <n v="35.97"/>
    <n v="4"/>
    <x v="0"/>
  </r>
  <r>
    <x v="39"/>
    <d v="2025-08-16T00:00:00"/>
    <x v="10"/>
    <x v="1"/>
    <x v="4"/>
    <x v="1"/>
    <x v="2"/>
    <x v="2"/>
    <n v="1"/>
    <n v="8.99"/>
    <n v="8.99"/>
    <n v="5"/>
    <x v="0"/>
  </r>
  <r>
    <x v="40"/>
    <d v="2024-03-10T00:00:00"/>
    <x v="11"/>
    <x v="0"/>
    <x v="5"/>
    <x v="2"/>
    <x v="14"/>
    <x v="2"/>
    <n v="1"/>
    <n v="9.99"/>
    <n v="9.99"/>
    <n v="4"/>
    <x v="0"/>
  </r>
  <r>
    <x v="41"/>
    <d v="2025-11-09T00:00:00"/>
    <x v="5"/>
    <x v="1"/>
    <x v="2"/>
    <x v="1"/>
    <x v="2"/>
    <x v="2"/>
    <n v="1"/>
    <n v="8.99"/>
    <n v="8.99"/>
    <n v="5"/>
    <x v="0"/>
  </r>
  <r>
    <x v="42"/>
    <d v="2025-11-02T00:00:00"/>
    <x v="5"/>
    <x v="1"/>
    <x v="0"/>
    <x v="2"/>
    <x v="18"/>
    <x v="3"/>
    <n v="1"/>
    <n v="10.99"/>
    <n v="10.99"/>
    <n v="4"/>
    <x v="0"/>
  </r>
  <r>
    <x v="43"/>
    <d v="2025-04-03T00:00:00"/>
    <x v="2"/>
    <x v="1"/>
    <x v="3"/>
    <x v="0"/>
    <x v="18"/>
    <x v="3"/>
    <n v="1"/>
    <n v="10.99"/>
    <n v="10.99"/>
    <n v="4"/>
    <x v="0"/>
  </r>
  <r>
    <x v="44"/>
    <d v="2024-10-07T00:00:00"/>
    <x v="6"/>
    <x v="0"/>
    <x v="8"/>
    <x v="2"/>
    <x v="12"/>
    <x v="2"/>
    <n v="2"/>
    <n v="10.99"/>
    <n v="21.98"/>
    <n v="5"/>
    <x v="0"/>
  </r>
  <r>
    <x v="45"/>
    <d v="2025-05-23T00:00:00"/>
    <x v="4"/>
    <x v="1"/>
    <x v="5"/>
    <x v="2"/>
    <x v="14"/>
    <x v="2"/>
    <n v="1"/>
    <n v="9.99"/>
    <n v="9.99"/>
    <n v="5"/>
    <x v="0"/>
  </r>
  <r>
    <x v="46"/>
    <d v="2025-03-04T00:00:00"/>
    <x v="11"/>
    <x v="1"/>
    <x v="5"/>
    <x v="2"/>
    <x v="8"/>
    <x v="2"/>
    <n v="2"/>
    <n v="11.99"/>
    <n v="23.98"/>
    <n v="5"/>
    <x v="0"/>
  </r>
  <r>
    <x v="47"/>
    <d v="2024-03-31T00:00:00"/>
    <x v="11"/>
    <x v="0"/>
    <x v="5"/>
    <x v="0"/>
    <x v="6"/>
    <x v="0"/>
    <n v="1"/>
    <n v="24.99"/>
    <n v="24.99"/>
    <n v="4"/>
    <x v="0"/>
  </r>
  <r>
    <x v="48"/>
    <d v="2024-11-13T00:00:00"/>
    <x v="5"/>
    <x v="0"/>
    <x v="7"/>
    <x v="2"/>
    <x v="9"/>
    <x v="0"/>
    <n v="1"/>
    <n v="32.99"/>
    <n v="32.99"/>
    <n v="5"/>
    <x v="0"/>
  </r>
  <r>
    <x v="49"/>
    <d v="2024-02-21T00:00:00"/>
    <x v="8"/>
    <x v="0"/>
    <x v="8"/>
    <x v="0"/>
    <x v="14"/>
    <x v="2"/>
    <n v="1"/>
    <n v="9.99"/>
    <n v="9.99"/>
    <n v="3"/>
    <x v="0"/>
  </r>
  <r>
    <x v="50"/>
    <d v="2025-09-08T00:00:00"/>
    <x v="1"/>
    <x v="1"/>
    <x v="9"/>
    <x v="2"/>
    <x v="1"/>
    <x v="1"/>
    <n v="1"/>
    <n v="9.99"/>
    <n v="9.99"/>
    <n v="5"/>
    <x v="0"/>
  </r>
  <r>
    <x v="51"/>
    <d v="2024-09-18T00:00:00"/>
    <x v="1"/>
    <x v="0"/>
    <x v="7"/>
    <x v="0"/>
    <x v="5"/>
    <x v="0"/>
    <n v="1"/>
    <n v="16.989999999999998"/>
    <n v="16.989999999999998"/>
    <n v="3"/>
    <x v="0"/>
  </r>
  <r>
    <x v="52"/>
    <d v="2024-01-13T00:00:00"/>
    <x v="9"/>
    <x v="0"/>
    <x v="6"/>
    <x v="1"/>
    <x v="8"/>
    <x v="2"/>
    <n v="3"/>
    <n v="11.99"/>
    <n v="35.97"/>
    <n v="4"/>
    <x v="0"/>
  </r>
  <r>
    <x v="53"/>
    <d v="2024-10-08T00:00:00"/>
    <x v="6"/>
    <x v="0"/>
    <x v="9"/>
    <x v="2"/>
    <x v="5"/>
    <x v="0"/>
    <n v="1"/>
    <n v="16.989999999999998"/>
    <n v="16.989999999999998"/>
    <n v="4"/>
    <x v="0"/>
  </r>
  <r>
    <x v="54"/>
    <d v="2025-10-26T00:00:00"/>
    <x v="6"/>
    <x v="1"/>
    <x v="1"/>
    <x v="0"/>
    <x v="19"/>
    <x v="0"/>
    <n v="1"/>
    <n v="17.989999999999998"/>
    <n v="17.989999999999998"/>
    <n v="5"/>
    <x v="0"/>
  </r>
  <r>
    <x v="55"/>
    <d v="2024-01-15T00:00:00"/>
    <x v="9"/>
    <x v="0"/>
    <x v="1"/>
    <x v="2"/>
    <x v="16"/>
    <x v="3"/>
    <n v="1"/>
    <n v="8.99"/>
    <n v="8.99"/>
    <n v="5"/>
    <x v="0"/>
  </r>
  <r>
    <x v="56"/>
    <d v="2025-12-27T00:00:00"/>
    <x v="7"/>
    <x v="1"/>
    <x v="2"/>
    <x v="2"/>
    <x v="2"/>
    <x v="2"/>
    <n v="2"/>
    <n v="8.99"/>
    <n v="17.98"/>
    <n v="4"/>
    <x v="0"/>
  </r>
  <r>
    <x v="57"/>
    <d v="2024-10-01T00:00:00"/>
    <x v="6"/>
    <x v="0"/>
    <x v="4"/>
    <x v="0"/>
    <x v="18"/>
    <x v="3"/>
    <n v="3"/>
    <n v="10.99"/>
    <n v="32.97"/>
    <n v="4"/>
    <x v="0"/>
  </r>
  <r>
    <x v="58"/>
    <d v="2024-03-04T00:00:00"/>
    <x v="11"/>
    <x v="0"/>
    <x v="4"/>
    <x v="0"/>
    <x v="5"/>
    <x v="0"/>
    <n v="3"/>
    <n v="16.989999999999998"/>
    <n v="50.97"/>
    <n v="5"/>
    <x v="0"/>
  </r>
  <r>
    <x v="59"/>
    <d v="2024-01-13T00:00:00"/>
    <x v="9"/>
    <x v="0"/>
    <x v="4"/>
    <x v="2"/>
    <x v="12"/>
    <x v="2"/>
    <n v="3"/>
    <n v="10.99"/>
    <n v="32.97"/>
    <n v="4"/>
    <x v="0"/>
  </r>
  <r>
    <x v="60"/>
    <d v="2025-06-04T00:00:00"/>
    <x v="3"/>
    <x v="1"/>
    <x v="6"/>
    <x v="0"/>
    <x v="0"/>
    <x v="0"/>
    <n v="3"/>
    <n v="18.989999999999998"/>
    <n v="56.97"/>
    <n v="4"/>
    <x v="0"/>
  </r>
  <r>
    <x v="61"/>
    <d v="2025-01-24T00:00:00"/>
    <x v="9"/>
    <x v="1"/>
    <x v="2"/>
    <x v="0"/>
    <x v="11"/>
    <x v="1"/>
    <n v="2"/>
    <n v="6.99"/>
    <n v="13.98"/>
    <n v="4"/>
    <x v="0"/>
  </r>
  <r>
    <x v="62"/>
    <d v="2024-03-08T00:00:00"/>
    <x v="11"/>
    <x v="0"/>
    <x v="1"/>
    <x v="2"/>
    <x v="0"/>
    <x v="0"/>
    <n v="2"/>
    <n v="18.989999999999998"/>
    <n v="37.979999999999997"/>
    <n v="3"/>
    <x v="0"/>
  </r>
  <r>
    <x v="63"/>
    <d v="2025-01-27T00:00:00"/>
    <x v="9"/>
    <x v="1"/>
    <x v="4"/>
    <x v="1"/>
    <x v="13"/>
    <x v="0"/>
    <n v="1"/>
    <n v="15.99"/>
    <n v="15.99"/>
    <n v="2"/>
    <x v="1"/>
  </r>
  <r>
    <x v="64"/>
    <d v="2025-02-27T00:00:00"/>
    <x v="8"/>
    <x v="1"/>
    <x v="8"/>
    <x v="1"/>
    <x v="20"/>
    <x v="1"/>
    <n v="2"/>
    <n v="5.99"/>
    <n v="11.98"/>
    <n v="4"/>
    <x v="0"/>
  </r>
  <r>
    <x v="65"/>
    <d v="2024-11-18T00:00:00"/>
    <x v="5"/>
    <x v="0"/>
    <x v="1"/>
    <x v="0"/>
    <x v="2"/>
    <x v="2"/>
    <n v="1"/>
    <n v="8.99"/>
    <n v="8.99"/>
    <n v="5"/>
    <x v="0"/>
  </r>
  <r>
    <x v="66"/>
    <d v="2024-04-17T00:00:00"/>
    <x v="2"/>
    <x v="0"/>
    <x v="0"/>
    <x v="2"/>
    <x v="0"/>
    <x v="0"/>
    <n v="2"/>
    <n v="18.989999999999998"/>
    <n v="37.979999999999997"/>
    <n v="4"/>
    <x v="0"/>
  </r>
  <r>
    <x v="67"/>
    <d v="2024-03-23T00:00:00"/>
    <x v="11"/>
    <x v="0"/>
    <x v="0"/>
    <x v="2"/>
    <x v="4"/>
    <x v="1"/>
    <n v="2"/>
    <n v="7.99"/>
    <n v="15.98"/>
    <n v="4"/>
    <x v="0"/>
  </r>
  <r>
    <x v="68"/>
    <d v="2024-07-07T00:00:00"/>
    <x v="0"/>
    <x v="0"/>
    <x v="9"/>
    <x v="2"/>
    <x v="6"/>
    <x v="0"/>
    <n v="2"/>
    <n v="24.99"/>
    <n v="49.98"/>
    <n v="5"/>
    <x v="0"/>
  </r>
  <r>
    <x v="69"/>
    <d v="2024-08-05T00:00:00"/>
    <x v="10"/>
    <x v="0"/>
    <x v="2"/>
    <x v="2"/>
    <x v="11"/>
    <x v="1"/>
    <n v="2"/>
    <n v="6.99"/>
    <n v="13.98"/>
    <n v="3"/>
    <x v="0"/>
  </r>
  <r>
    <x v="70"/>
    <d v="2024-08-09T00:00:00"/>
    <x v="10"/>
    <x v="0"/>
    <x v="2"/>
    <x v="0"/>
    <x v="21"/>
    <x v="1"/>
    <n v="1"/>
    <n v="4.99"/>
    <n v="4.99"/>
    <n v="4"/>
    <x v="0"/>
  </r>
  <r>
    <x v="71"/>
    <d v="2024-02-21T00:00:00"/>
    <x v="8"/>
    <x v="0"/>
    <x v="0"/>
    <x v="1"/>
    <x v="12"/>
    <x v="2"/>
    <n v="1"/>
    <n v="10.99"/>
    <n v="10.99"/>
    <n v="5"/>
    <x v="0"/>
  </r>
  <r>
    <x v="72"/>
    <d v="2024-07-15T00:00:00"/>
    <x v="0"/>
    <x v="0"/>
    <x v="7"/>
    <x v="2"/>
    <x v="1"/>
    <x v="1"/>
    <n v="1"/>
    <n v="9.99"/>
    <n v="9.99"/>
    <n v="4"/>
    <x v="0"/>
  </r>
  <r>
    <x v="73"/>
    <d v="2024-06-04T00:00:00"/>
    <x v="3"/>
    <x v="0"/>
    <x v="1"/>
    <x v="0"/>
    <x v="17"/>
    <x v="0"/>
    <n v="1"/>
    <n v="14.99"/>
    <n v="14.99"/>
    <n v="4"/>
    <x v="0"/>
  </r>
  <r>
    <x v="74"/>
    <d v="2025-01-15T00:00:00"/>
    <x v="9"/>
    <x v="1"/>
    <x v="7"/>
    <x v="2"/>
    <x v="5"/>
    <x v="0"/>
    <n v="3"/>
    <n v="16.989999999999998"/>
    <n v="50.97"/>
    <n v="4"/>
    <x v="0"/>
  </r>
  <r>
    <x v="75"/>
    <d v="2025-06-13T00:00:00"/>
    <x v="3"/>
    <x v="1"/>
    <x v="6"/>
    <x v="2"/>
    <x v="10"/>
    <x v="0"/>
    <n v="2"/>
    <n v="22.99"/>
    <n v="45.98"/>
    <n v="3"/>
    <x v="0"/>
  </r>
  <r>
    <x v="76"/>
    <d v="2024-09-06T00:00:00"/>
    <x v="1"/>
    <x v="0"/>
    <x v="3"/>
    <x v="1"/>
    <x v="17"/>
    <x v="0"/>
    <n v="2"/>
    <n v="14.99"/>
    <n v="29.98"/>
    <n v="4"/>
    <x v="0"/>
  </r>
  <r>
    <x v="77"/>
    <d v="2024-09-15T00:00:00"/>
    <x v="1"/>
    <x v="0"/>
    <x v="7"/>
    <x v="1"/>
    <x v="13"/>
    <x v="0"/>
    <n v="1"/>
    <n v="15.99"/>
    <n v="15.99"/>
    <n v="4"/>
    <x v="0"/>
  </r>
  <r>
    <x v="78"/>
    <d v="2025-10-12T00:00:00"/>
    <x v="6"/>
    <x v="1"/>
    <x v="4"/>
    <x v="2"/>
    <x v="6"/>
    <x v="0"/>
    <n v="1"/>
    <n v="24.99"/>
    <n v="24.99"/>
    <n v="3"/>
    <x v="0"/>
  </r>
  <r>
    <x v="79"/>
    <d v="2024-12-29T00:00:00"/>
    <x v="7"/>
    <x v="0"/>
    <x v="7"/>
    <x v="0"/>
    <x v="11"/>
    <x v="1"/>
    <n v="2"/>
    <n v="6.99"/>
    <n v="13.98"/>
    <n v="5"/>
    <x v="0"/>
  </r>
  <r>
    <x v="80"/>
    <d v="2025-07-13T00:00:00"/>
    <x v="0"/>
    <x v="1"/>
    <x v="6"/>
    <x v="0"/>
    <x v="14"/>
    <x v="2"/>
    <n v="1"/>
    <n v="9.99"/>
    <n v="9.99"/>
    <n v="3"/>
    <x v="0"/>
  </r>
  <r>
    <x v="81"/>
    <d v="2024-09-22T00:00:00"/>
    <x v="1"/>
    <x v="0"/>
    <x v="0"/>
    <x v="2"/>
    <x v="18"/>
    <x v="3"/>
    <n v="3"/>
    <n v="10.99"/>
    <n v="32.97"/>
    <n v="4"/>
    <x v="0"/>
  </r>
  <r>
    <x v="82"/>
    <d v="2024-09-28T00:00:00"/>
    <x v="1"/>
    <x v="0"/>
    <x v="6"/>
    <x v="1"/>
    <x v="0"/>
    <x v="0"/>
    <n v="4"/>
    <n v="18.989999999999998"/>
    <n v="75.959999999999994"/>
    <n v="4"/>
    <x v="0"/>
  </r>
  <r>
    <x v="83"/>
    <d v="2025-11-28T00:00:00"/>
    <x v="5"/>
    <x v="1"/>
    <x v="6"/>
    <x v="0"/>
    <x v="1"/>
    <x v="1"/>
    <n v="1"/>
    <n v="9.99"/>
    <n v="9.99"/>
    <n v="3"/>
    <x v="0"/>
  </r>
  <r>
    <x v="84"/>
    <d v="2024-01-18T00:00:00"/>
    <x v="9"/>
    <x v="0"/>
    <x v="9"/>
    <x v="2"/>
    <x v="0"/>
    <x v="0"/>
    <n v="4"/>
    <n v="18.989999999999998"/>
    <n v="75.959999999999994"/>
    <n v="4"/>
    <x v="0"/>
  </r>
  <r>
    <x v="85"/>
    <d v="2024-07-16T00:00:00"/>
    <x v="0"/>
    <x v="0"/>
    <x v="1"/>
    <x v="0"/>
    <x v="11"/>
    <x v="1"/>
    <n v="4"/>
    <n v="6.99"/>
    <n v="27.96"/>
    <n v="5"/>
    <x v="0"/>
  </r>
  <r>
    <x v="86"/>
    <d v="2024-11-04T00:00:00"/>
    <x v="5"/>
    <x v="0"/>
    <x v="5"/>
    <x v="2"/>
    <x v="19"/>
    <x v="0"/>
    <n v="2"/>
    <n v="17.989999999999998"/>
    <n v="35.979999999999997"/>
    <n v="4"/>
    <x v="0"/>
  </r>
  <r>
    <x v="87"/>
    <d v="2025-05-03T00:00:00"/>
    <x v="4"/>
    <x v="1"/>
    <x v="3"/>
    <x v="0"/>
    <x v="20"/>
    <x v="1"/>
    <n v="2"/>
    <n v="5.99"/>
    <n v="11.98"/>
    <n v="5"/>
    <x v="0"/>
  </r>
  <r>
    <x v="88"/>
    <d v="2025-11-18T00:00:00"/>
    <x v="5"/>
    <x v="1"/>
    <x v="0"/>
    <x v="1"/>
    <x v="12"/>
    <x v="2"/>
    <n v="1"/>
    <n v="10.99"/>
    <n v="10.99"/>
    <n v="4"/>
    <x v="0"/>
  </r>
  <r>
    <x v="89"/>
    <d v="2025-09-26T00:00:00"/>
    <x v="1"/>
    <x v="1"/>
    <x v="5"/>
    <x v="2"/>
    <x v="4"/>
    <x v="1"/>
    <n v="2"/>
    <n v="7.99"/>
    <n v="15.98"/>
    <n v="4"/>
    <x v="0"/>
  </r>
  <r>
    <x v="90"/>
    <d v="2025-06-22T00:00:00"/>
    <x v="3"/>
    <x v="1"/>
    <x v="4"/>
    <x v="2"/>
    <x v="0"/>
    <x v="0"/>
    <n v="1"/>
    <n v="18.989999999999998"/>
    <n v="18.989999999999998"/>
    <n v="4"/>
    <x v="0"/>
  </r>
  <r>
    <x v="91"/>
    <d v="2024-10-31T00:00:00"/>
    <x v="6"/>
    <x v="0"/>
    <x v="4"/>
    <x v="0"/>
    <x v="1"/>
    <x v="1"/>
    <n v="4"/>
    <n v="9.99"/>
    <n v="39.96"/>
    <n v="4"/>
    <x v="0"/>
  </r>
  <r>
    <x v="92"/>
    <d v="2025-10-13T00:00:00"/>
    <x v="6"/>
    <x v="1"/>
    <x v="3"/>
    <x v="0"/>
    <x v="22"/>
    <x v="2"/>
    <n v="2"/>
    <n v="14.99"/>
    <n v="29.98"/>
    <n v="4"/>
    <x v="0"/>
  </r>
  <r>
    <x v="93"/>
    <d v="2025-07-10T00:00:00"/>
    <x v="0"/>
    <x v="1"/>
    <x v="6"/>
    <x v="0"/>
    <x v="13"/>
    <x v="0"/>
    <n v="2"/>
    <n v="15.99"/>
    <n v="31.98"/>
    <n v="5"/>
    <x v="0"/>
  </r>
  <r>
    <x v="94"/>
    <d v="2025-02-08T00:00:00"/>
    <x v="8"/>
    <x v="1"/>
    <x v="4"/>
    <x v="0"/>
    <x v="11"/>
    <x v="1"/>
    <n v="1"/>
    <n v="6.99"/>
    <n v="6.99"/>
    <n v="5"/>
    <x v="0"/>
  </r>
  <r>
    <x v="95"/>
    <d v="2025-04-15T00:00:00"/>
    <x v="2"/>
    <x v="1"/>
    <x v="5"/>
    <x v="1"/>
    <x v="5"/>
    <x v="0"/>
    <n v="2"/>
    <n v="16.989999999999998"/>
    <n v="33.979999999999997"/>
    <n v="3"/>
    <x v="0"/>
  </r>
  <r>
    <x v="96"/>
    <d v="2025-11-10T00:00:00"/>
    <x v="5"/>
    <x v="1"/>
    <x v="0"/>
    <x v="1"/>
    <x v="18"/>
    <x v="3"/>
    <n v="1"/>
    <n v="10.99"/>
    <n v="10.99"/>
    <n v="1"/>
    <x v="1"/>
  </r>
  <r>
    <x v="97"/>
    <d v="2025-01-25T00:00:00"/>
    <x v="9"/>
    <x v="1"/>
    <x v="1"/>
    <x v="2"/>
    <x v="15"/>
    <x v="3"/>
    <n v="2"/>
    <n v="7.99"/>
    <n v="15.98"/>
    <n v="3"/>
    <x v="0"/>
  </r>
  <r>
    <x v="98"/>
    <d v="2024-03-22T00:00:00"/>
    <x v="11"/>
    <x v="0"/>
    <x v="0"/>
    <x v="0"/>
    <x v="7"/>
    <x v="2"/>
    <n v="1"/>
    <n v="12.99"/>
    <n v="12.99"/>
    <n v="4"/>
    <x v="0"/>
  </r>
  <r>
    <x v="99"/>
    <d v="2024-05-21T00:00:00"/>
    <x v="4"/>
    <x v="0"/>
    <x v="0"/>
    <x v="1"/>
    <x v="16"/>
    <x v="3"/>
    <n v="1"/>
    <n v="8.99"/>
    <n v="8.99"/>
    <n v="2"/>
    <x v="1"/>
  </r>
  <r>
    <x v="100"/>
    <d v="2024-05-26T00:00:00"/>
    <x v="4"/>
    <x v="0"/>
    <x v="3"/>
    <x v="0"/>
    <x v="10"/>
    <x v="0"/>
    <n v="3"/>
    <n v="22.99"/>
    <n v="68.97"/>
    <n v="4"/>
    <x v="0"/>
  </r>
  <r>
    <x v="101"/>
    <d v="2025-10-12T00:00:00"/>
    <x v="6"/>
    <x v="1"/>
    <x v="9"/>
    <x v="1"/>
    <x v="6"/>
    <x v="0"/>
    <n v="1"/>
    <n v="24.99"/>
    <n v="24.99"/>
    <n v="5"/>
    <x v="0"/>
  </r>
  <r>
    <x v="102"/>
    <d v="2024-06-26T00:00:00"/>
    <x v="3"/>
    <x v="0"/>
    <x v="2"/>
    <x v="0"/>
    <x v="19"/>
    <x v="0"/>
    <n v="1"/>
    <n v="17.989999999999998"/>
    <n v="17.989999999999998"/>
    <n v="5"/>
    <x v="0"/>
  </r>
  <r>
    <x v="103"/>
    <d v="2025-05-14T00:00:00"/>
    <x v="4"/>
    <x v="1"/>
    <x v="7"/>
    <x v="1"/>
    <x v="11"/>
    <x v="1"/>
    <n v="1"/>
    <n v="6.99"/>
    <n v="6.99"/>
    <n v="5"/>
    <x v="0"/>
  </r>
  <r>
    <x v="104"/>
    <d v="2025-03-28T00:00:00"/>
    <x v="11"/>
    <x v="1"/>
    <x v="4"/>
    <x v="0"/>
    <x v="4"/>
    <x v="1"/>
    <n v="2"/>
    <n v="7.99"/>
    <n v="15.98"/>
    <n v="3"/>
    <x v="0"/>
  </r>
  <r>
    <x v="105"/>
    <d v="2025-08-03T00:00:00"/>
    <x v="10"/>
    <x v="1"/>
    <x v="4"/>
    <x v="1"/>
    <x v="14"/>
    <x v="2"/>
    <n v="1"/>
    <n v="9.99"/>
    <n v="9.99"/>
    <n v="5"/>
    <x v="0"/>
  </r>
  <r>
    <x v="106"/>
    <d v="2024-11-02T00:00:00"/>
    <x v="5"/>
    <x v="0"/>
    <x v="5"/>
    <x v="2"/>
    <x v="15"/>
    <x v="3"/>
    <n v="2"/>
    <n v="7.99"/>
    <n v="15.98"/>
    <n v="5"/>
    <x v="0"/>
  </r>
  <r>
    <x v="107"/>
    <d v="2024-07-13T00:00:00"/>
    <x v="0"/>
    <x v="0"/>
    <x v="3"/>
    <x v="0"/>
    <x v="4"/>
    <x v="1"/>
    <n v="1"/>
    <n v="7.99"/>
    <n v="7.99"/>
    <n v="3"/>
    <x v="0"/>
  </r>
  <r>
    <x v="108"/>
    <d v="2024-08-25T00:00:00"/>
    <x v="10"/>
    <x v="0"/>
    <x v="8"/>
    <x v="0"/>
    <x v="9"/>
    <x v="0"/>
    <n v="2"/>
    <n v="32.99"/>
    <n v="65.98"/>
    <n v="4"/>
    <x v="0"/>
  </r>
  <r>
    <x v="109"/>
    <d v="2024-03-25T00:00:00"/>
    <x v="11"/>
    <x v="0"/>
    <x v="4"/>
    <x v="2"/>
    <x v="17"/>
    <x v="0"/>
    <n v="1"/>
    <n v="14.99"/>
    <n v="14.99"/>
    <n v="4"/>
    <x v="0"/>
  </r>
  <r>
    <x v="110"/>
    <d v="2025-06-21T00:00:00"/>
    <x v="3"/>
    <x v="1"/>
    <x v="4"/>
    <x v="0"/>
    <x v="5"/>
    <x v="0"/>
    <n v="1"/>
    <n v="16.989999999999998"/>
    <n v="16.989999999999998"/>
    <n v="3"/>
    <x v="0"/>
  </r>
  <r>
    <x v="111"/>
    <d v="2024-05-28T00:00:00"/>
    <x v="4"/>
    <x v="0"/>
    <x v="8"/>
    <x v="2"/>
    <x v="8"/>
    <x v="2"/>
    <n v="4"/>
    <n v="11.99"/>
    <n v="47.96"/>
    <n v="4"/>
    <x v="0"/>
  </r>
  <r>
    <x v="112"/>
    <d v="2024-03-16T00:00:00"/>
    <x v="11"/>
    <x v="0"/>
    <x v="5"/>
    <x v="0"/>
    <x v="14"/>
    <x v="2"/>
    <n v="1"/>
    <n v="9.99"/>
    <n v="9.99"/>
    <n v="4"/>
    <x v="0"/>
  </r>
  <r>
    <x v="113"/>
    <d v="2024-06-24T00:00:00"/>
    <x v="3"/>
    <x v="0"/>
    <x v="2"/>
    <x v="2"/>
    <x v="15"/>
    <x v="3"/>
    <n v="1"/>
    <n v="7.99"/>
    <n v="7.99"/>
    <n v="4"/>
    <x v="0"/>
  </r>
  <r>
    <x v="114"/>
    <d v="2025-02-27T00:00:00"/>
    <x v="8"/>
    <x v="1"/>
    <x v="4"/>
    <x v="2"/>
    <x v="0"/>
    <x v="0"/>
    <n v="2"/>
    <n v="18.989999999999998"/>
    <n v="37.979999999999997"/>
    <n v="2"/>
    <x v="1"/>
  </r>
  <r>
    <x v="115"/>
    <d v="2024-07-27T00:00:00"/>
    <x v="0"/>
    <x v="0"/>
    <x v="7"/>
    <x v="2"/>
    <x v="3"/>
    <x v="1"/>
    <n v="1"/>
    <n v="3.49"/>
    <n v="3.49"/>
    <n v="5"/>
    <x v="0"/>
  </r>
  <r>
    <x v="116"/>
    <d v="2024-05-06T00:00:00"/>
    <x v="4"/>
    <x v="0"/>
    <x v="1"/>
    <x v="0"/>
    <x v="11"/>
    <x v="1"/>
    <n v="2"/>
    <n v="6.99"/>
    <n v="13.98"/>
    <n v="4"/>
    <x v="0"/>
  </r>
  <r>
    <x v="117"/>
    <d v="2025-10-29T00:00:00"/>
    <x v="6"/>
    <x v="1"/>
    <x v="7"/>
    <x v="0"/>
    <x v="2"/>
    <x v="2"/>
    <n v="2"/>
    <n v="8.99"/>
    <n v="17.98"/>
    <n v="5"/>
    <x v="0"/>
  </r>
  <r>
    <x v="118"/>
    <d v="2024-04-14T00:00:00"/>
    <x v="2"/>
    <x v="0"/>
    <x v="4"/>
    <x v="1"/>
    <x v="5"/>
    <x v="0"/>
    <n v="1"/>
    <n v="16.989999999999998"/>
    <n v="16.989999999999998"/>
    <n v="1"/>
    <x v="1"/>
  </r>
  <r>
    <x v="119"/>
    <d v="2024-02-20T00:00:00"/>
    <x v="8"/>
    <x v="0"/>
    <x v="9"/>
    <x v="0"/>
    <x v="18"/>
    <x v="3"/>
    <n v="1"/>
    <n v="10.99"/>
    <n v="10.99"/>
    <n v="5"/>
    <x v="0"/>
  </r>
  <r>
    <x v="120"/>
    <d v="2025-06-18T00:00:00"/>
    <x v="3"/>
    <x v="1"/>
    <x v="3"/>
    <x v="2"/>
    <x v="1"/>
    <x v="1"/>
    <n v="2"/>
    <n v="9.99"/>
    <n v="19.98"/>
    <n v="5"/>
    <x v="0"/>
  </r>
  <r>
    <x v="121"/>
    <d v="2025-11-04T00:00:00"/>
    <x v="5"/>
    <x v="1"/>
    <x v="9"/>
    <x v="1"/>
    <x v="18"/>
    <x v="3"/>
    <n v="4"/>
    <n v="10.99"/>
    <n v="43.96"/>
    <n v="5"/>
    <x v="0"/>
  </r>
  <r>
    <x v="122"/>
    <d v="2024-06-23T00:00:00"/>
    <x v="3"/>
    <x v="0"/>
    <x v="4"/>
    <x v="2"/>
    <x v="6"/>
    <x v="0"/>
    <n v="2"/>
    <n v="24.99"/>
    <n v="49.98"/>
    <n v="5"/>
    <x v="0"/>
  </r>
  <r>
    <x v="123"/>
    <d v="2024-05-10T00:00:00"/>
    <x v="4"/>
    <x v="0"/>
    <x v="3"/>
    <x v="2"/>
    <x v="22"/>
    <x v="2"/>
    <n v="1"/>
    <n v="14.99"/>
    <n v="14.99"/>
    <n v="3"/>
    <x v="0"/>
  </r>
  <r>
    <x v="124"/>
    <d v="2024-11-25T00:00:00"/>
    <x v="5"/>
    <x v="0"/>
    <x v="6"/>
    <x v="2"/>
    <x v="11"/>
    <x v="1"/>
    <n v="2"/>
    <n v="6.99"/>
    <n v="13.98"/>
    <n v="4"/>
    <x v="0"/>
  </r>
  <r>
    <x v="125"/>
    <d v="2024-03-02T00:00:00"/>
    <x v="11"/>
    <x v="0"/>
    <x v="3"/>
    <x v="2"/>
    <x v="23"/>
    <x v="3"/>
    <n v="2"/>
    <n v="11.99"/>
    <n v="23.98"/>
    <n v="4"/>
    <x v="0"/>
  </r>
  <r>
    <x v="126"/>
    <d v="2024-08-03T00:00:00"/>
    <x v="10"/>
    <x v="0"/>
    <x v="7"/>
    <x v="0"/>
    <x v="20"/>
    <x v="1"/>
    <n v="1"/>
    <n v="5.99"/>
    <n v="5.99"/>
    <n v="4"/>
    <x v="0"/>
  </r>
  <r>
    <x v="127"/>
    <d v="2024-07-20T00:00:00"/>
    <x v="0"/>
    <x v="0"/>
    <x v="0"/>
    <x v="2"/>
    <x v="15"/>
    <x v="3"/>
    <n v="1"/>
    <n v="7.99"/>
    <n v="7.99"/>
    <n v="5"/>
    <x v="0"/>
  </r>
  <r>
    <x v="128"/>
    <d v="2024-07-19T00:00:00"/>
    <x v="0"/>
    <x v="0"/>
    <x v="8"/>
    <x v="2"/>
    <x v="19"/>
    <x v="0"/>
    <n v="1"/>
    <n v="17.989999999999998"/>
    <n v="17.989999999999998"/>
    <n v="5"/>
    <x v="0"/>
  </r>
  <r>
    <x v="129"/>
    <d v="2025-01-31T00:00:00"/>
    <x v="9"/>
    <x v="1"/>
    <x v="5"/>
    <x v="1"/>
    <x v="20"/>
    <x v="1"/>
    <n v="4"/>
    <n v="5.99"/>
    <n v="23.96"/>
    <n v="4"/>
    <x v="0"/>
  </r>
  <r>
    <x v="130"/>
    <d v="2024-01-13T00:00:00"/>
    <x v="9"/>
    <x v="0"/>
    <x v="0"/>
    <x v="2"/>
    <x v="0"/>
    <x v="0"/>
    <n v="3"/>
    <n v="18.989999999999998"/>
    <n v="56.97"/>
    <n v="3"/>
    <x v="0"/>
  </r>
  <r>
    <x v="131"/>
    <d v="2024-12-03T00:00:00"/>
    <x v="7"/>
    <x v="0"/>
    <x v="7"/>
    <x v="2"/>
    <x v="17"/>
    <x v="0"/>
    <n v="1"/>
    <n v="14.99"/>
    <n v="14.99"/>
    <n v="1"/>
    <x v="1"/>
  </r>
  <r>
    <x v="132"/>
    <d v="2025-02-19T00:00:00"/>
    <x v="8"/>
    <x v="1"/>
    <x v="0"/>
    <x v="1"/>
    <x v="20"/>
    <x v="1"/>
    <n v="2"/>
    <n v="5.99"/>
    <n v="11.98"/>
    <n v="4"/>
    <x v="0"/>
  </r>
  <r>
    <x v="133"/>
    <d v="2024-06-02T00:00:00"/>
    <x v="3"/>
    <x v="0"/>
    <x v="8"/>
    <x v="0"/>
    <x v="5"/>
    <x v="0"/>
    <n v="2"/>
    <n v="16.989999999999998"/>
    <n v="33.979999999999997"/>
    <n v="3"/>
    <x v="0"/>
  </r>
  <r>
    <x v="134"/>
    <d v="2025-10-06T00:00:00"/>
    <x v="6"/>
    <x v="1"/>
    <x v="4"/>
    <x v="0"/>
    <x v="8"/>
    <x v="2"/>
    <n v="1"/>
    <n v="11.99"/>
    <n v="11.99"/>
    <n v="4"/>
    <x v="0"/>
  </r>
  <r>
    <x v="135"/>
    <d v="2024-03-17T00:00:00"/>
    <x v="11"/>
    <x v="0"/>
    <x v="9"/>
    <x v="0"/>
    <x v="9"/>
    <x v="0"/>
    <n v="2"/>
    <n v="32.99"/>
    <n v="65.98"/>
    <n v="2"/>
    <x v="1"/>
  </r>
  <r>
    <x v="136"/>
    <d v="2024-09-19T00:00:00"/>
    <x v="1"/>
    <x v="0"/>
    <x v="0"/>
    <x v="1"/>
    <x v="20"/>
    <x v="1"/>
    <n v="1"/>
    <n v="5.99"/>
    <n v="5.99"/>
    <n v="3"/>
    <x v="0"/>
  </r>
  <r>
    <x v="137"/>
    <d v="2025-03-22T00:00:00"/>
    <x v="11"/>
    <x v="1"/>
    <x v="1"/>
    <x v="2"/>
    <x v="13"/>
    <x v="0"/>
    <n v="1"/>
    <n v="15.99"/>
    <n v="15.99"/>
    <n v="4"/>
    <x v="0"/>
  </r>
  <r>
    <x v="138"/>
    <d v="2024-10-11T00:00:00"/>
    <x v="6"/>
    <x v="0"/>
    <x v="4"/>
    <x v="1"/>
    <x v="11"/>
    <x v="1"/>
    <n v="1"/>
    <n v="6.99"/>
    <n v="6.99"/>
    <n v="4"/>
    <x v="0"/>
  </r>
  <r>
    <x v="139"/>
    <d v="2024-09-10T00:00:00"/>
    <x v="1"/>
    <x v="0"/>
    <x v="4"/>
    <x v="1"/>
    <x v="3"/>
    <x v="1"/>
    <n v="3"/>
    <n v="3.49"/>
    <n v="10.47"/>
    <n v="4"/>
    <x v="0"/>
  </r>
  <r>
    <x v="140"/>
    <d v="2025-06-29T00:00:00"/>
    <x v="3"/>
    <x v="1"/>
    <x v="7"/>
    <x v="1"/>
    <x v="22"/>
    <x v="2"/>
    <n v="1"/>
    <n v="14.99"/>
    <n v="14.99"/>
    <n v="5"/>
    <x v="0"/>
  </r>
  <r>
    <x v="141"/>
    <d v="2025-10-28T00:00:00"/>
    <x v="6"/>
    <x v="1"/>
    <x v="8"/>
    <x v="1"/>
    <x v="8"/>
    <x v="2"/>
    <n v="2"/>
    <n v="11.99"/>
    <n v="23.98"/>
    <n v="3"/>
    <x v="0"/>
  </r>
  <r>
    <x v="142"/>
    <d v="2024-01-05T00:00:00"/>
    <x v="9"/>
    <x v="0"/>
    <x v="4"/>
    <x v="2"/>
    <x v="20"/>
    <x v="1"/>
    <n v="2"/>
    <n v="5.99"/>
    <n v="11.98"/>
    <n v="4"/>
    <x v="0"/>
  </r>
  <r>
    <x v="143"/>
    <d v="2024-04-14T00:00:00"/>
    <x v="2"/>
    <x v="0"/>
    <x v="0"/>
    <x v="0"/>
    <x v="22"/>
    <x v="2"/>
    <n v="4"/>
    <n v="14.99"/>
    <n v="59.96"/>
    <n v="3"/>
    <x v="0"/>
  </r>
  <r>
    <x v="144"/>
    <d v="2025-08-31T00:00:00"/>
    <x v="10"/>
    <x v="1"/>
    <x v="5"/>
    <x v="1"/>
    <x v="9"/>
    <x v="0"/>
    <n v="4"/>
    <n v="32.99"/>
    <n v="131.96"/>
    <n v="5"/>
    <x v="0"/>
  </r>
  <r>
    <x v="145"/>
    <d v="2024-04-14T00:00:00"/>
    <x v="2"/>
    <x v="0"/>
    <x v="4"/>
    <x v="2"/>
    <x v="13"/>
    <x v="0"/>
    <n v="1"/>
    <n v="15.99"/>
    <n v="15.99"/>
    <n v="3"/>
    <x v="0"/>
  </r>
  <r>
    <x v="146"/>
    <d v="2024-07-25T00:00:00"/>
    <x v="0"/>
    <x v="0"/>
    <x v="8"/>
    <x v="2"/>
    <x v="0"/>
    <x v="0"/>
    <n v="1"/>
    <n v="18.989999999999998"/>
    <n v="18.989999999999998"/>
    <n v="4"/>
    <x v="0"/>
  </r>
  <r>
    <x v="147"/>
    <d v="2025-04-05T00:00:00"/>
    <x v="2"/>
    <x v="1"/>
    <x v="3"/>
    <x v="2"/>
    <x v="4"/>
    <x v="1"/>
    <n v="2"/>
    <n v="7.99"/>
    <n v="15.98"/>
    <n v="4"/>
    <x v="0"/>
  </r>
  <r>
    <x v="148"/>
    <d v="2025-04-06T00:00:00"/>
    <x v="2"/>
    <x v="1"/>
    <x v="3"/>
    <x v="0"/>
    <x v="5"/>
    <x v="0"/>
    <n v="4"/>
    <n v="16.989999999999998"/>
    <n v="67.959999999999994"/>
    <n v="4"/>
    <x v="0"/>
  </r>
  <r>
    <x v="149"/>
    <d v="2025-09-19T00:00:00"/>
    <x v="1"/>
    <x v="1"/>
    <x v="4"/>
    <x v="2"/>
    <x v="6"/>
    <x v="0"/>
    <n v="1"/>
    <n v="24.99"/>
    <n v="24.99"/>
    <n v="4"/>
    <x v="0"/>
  </r>
  <r>
    <x v="150"/>
    <d v="2024-01-08T00:00:00"/>
    <x v="9"/>
    <x v="0"/>
    <x v="4"/>
    <x v="1"/>
    <x v="18"/>
    <x v="3"/>
    <n v="2"/>
    <n v="10.99"/>
    <n v="21.98"/>
    <n v="5"/>
    <x v="0"/>
  </r>
  <r>
    <x v="151"/>
    <d v="2025-12-05T00:00:00"/>
    <x v="7"/>
    <x v="1"/>
    <x v="1"/>
    <x v="0"/>
    <x v="6"/>
    <x v="0"/>
    <n v="3"/>
    <n v="24.99"/>
    <n v="74.97"/>
    <n v="5"/>
    <x v="0"/>
  </r>
  <r>
    <x v="152"/>
    <d v="2025-08-20T00:00:00"/>
    <x v="10"/>
    <x v="1"/>
    <x v="5"/>
    <x v="0"/>
    <x v="15"/>
    <x v="3"/>
    <n v="1"/>
    <n v="7.99"/>
    <n v="7.99"/>
    <n v="3"/>
    <x v="0"/>
  </r>
  <r>
    <x v="153"/>
    <d v="2024-06-07T00:00:00"/>
    <x v="3"/>
    <x v="0"/>
    <x v="4"/>
    <x v="1"/>
    <x v="13"/>
    <x v="0"/>
    <n v="2"/>
    <n v="15.99"/>
    <n v="31.98"/>
    <n v="1"/>
    <x v="1"/>
  </r>
  <r>
    <x v="154"/>
    <d v="2024-05-25T00:00:00"/>
    <x v="4"/>
    <x v="0"/>
    <x v="6"/>
    <x v="1"/>
    <x v="19"/>
    <x v="0"/>
    <n v="1"/>
    <n v="17.989999999999998"/>
    <n v="17.989999999999998"/>
    <n v="3"/>
    <x v="0"/>
  </r>
  <r>
    <x v="155"/>
    <d v="2024-09-28T00:00:00"/>
    <x v="1"/>
    <x v="0"/>
    <x v="5"/>
    <x v="2"/>
    <x v="2"/>
    <x v="2"/>
    <n v="1"/>
    <n v="8.99"/>
    <n v="8.99"/>
    <n v="2"/>
    <x v="1"/>
  </r>
  <r>
    <x v="156"/>
    <d v="2025-10-04T00:00:00"/>
    <x v="6"/>
    <x v="1"/>
    <x v="1"/>
    <x v="2"/>
    <x v="17"/>
    <x v="0"/>
    <n v="1"/>
    <n v="14.99"/>
    <n v="14.99"/>
    <n v="5"/>
    <x v="0"/>
  </r>
  <r>
    <x v="157"/>
    <d v="2025-03-04T00:00:00"/>
    <x v="11"/>
    <x v="1"/>
    <x v="1"/>
    <x v="2"/>
    <x v="4"/>
    <x v="1"/>
    <n v="2"/>
    <n v="7.99"/>
    <n v="15.98"/>
    <n v="5"/>
    <x v="0"/>
  </r>
  <r>
    <x v="158"/>
    <d v="2024-04-03T00:00:00"/>
    <x v="2"/>
    <x v="0"/>
    <x v="0"/>
    <x v="1"/>
    <x v="0"/>
    <x v="0"/>
    <n v="1"/>
    <n v="18.989999999999998"/>
    <n v="18.989999999999998"/>
    <n v="4"/>
    <x v="0"/>
  </r>
  <r>
    <x v="159"/>
    <d v="2025-05-16T00:00:00"/>
    <x v="4"/>
    <x v="1"/>
    <x v="3"/>
    <x v="2"/>
    <x v="8"/>
    <x v="2"/>
    <n v="4"/>
    <n v="11.99"/>
    <n v="47.96"/>
    <n v="4"/>
    <x v="0"/>
  </r>
  <r>
    <x v="160"/>
    <d v="2024-02-29T00:00:00"/>
    <x v="8"/>
    <x v="0"/>
    <x v="8"/>
    <x v="0"/>
    <x v="11"/>
    <x v="1"/>
    <n v="1"/>
    <n v="6.99"/>
    <n v="6.99"/>
    <n v="4"/>
    <x v="0"/>
  </r>
  <r>
    <x v="161"/>
    <d v="2025-08-18T00:00:00"/>
    <x v="10"/>
    <x v="1"/>
    <x v="3"/>
    <x v="0"/>
    <x v="6"/>
    <x v="0"/>
    <n v="1"/>
    <n v="24.99"/>
    <n v="24.99"/>
    <n v="4"/>
    <x v="0"/>
  </r>
  <r>
    <x v="162"/>
    <d v="2024-05-31T00:00:00"/>
    <x v="4"/>
    <x v="0"/>
    <x v="1"/>
    <x v="1"/>
    <x v="12"/>
    <x v="2"/>
    <n v="1"/>
    <n v="10.99"/>
    <n v="10.99"/>
    <n v="5"/>
    <x v="0"/>
  </r>
  <r>
    <x v="163"/>
    <d v="2025-10-23T00:00:00"/>
    <x v="6"/>
    <x v="1"/>
    <x v="2"/>
    <x v="2"/>
    <x v="9"/>
    <x v="0"/>
    <n v="2"/>
    <n v="32.99"/>
    <n v="65.98"/>
    <n v="4"/>
    <x v="0"/>
  </r>
  <r>
    <x v="164"/>
    <d v="2024-03-14T00:00:00"/>
    <x v="11"/>
    <x v="0"/>
    <x v="8"/>
    <x v="0"/>
    <x v="16"/>
    <x v="3"/>
    <n v="1"/>
    <n v="8.99"/>
    <n v="8.99"/>
    <n v="4"/>
    <x v="0"/>
  </r>
  <r>
    <x v="165"/>
    <d v="2025-02-17T00:00:00"/>
    <x v="8"/>
    <x v="1"/>
    <x v="8"/>
    <x v="1"/>
    <x v="16"/>
    <x v="3"/>
    <n v="4"/>
    <n v="8.99"/>
    <n v="35.96"/>
    <n v="5"/>
    <x v="0"/>
  </r>
  <r>
    <x v="166"/>
    <d v="2024-10-19T00:00:00"/>
    <x v="6"/>
    <x v="0"/>
    <x v="1"/>
    <x v="2"/>
    <x v="11"/>
    <x v="1"/>
    <n v="2"/>
    <n v="6.99"/>
    <n v="13.98"/>
    <n v="4"/>
    <x v="0"/>
  </r>
  <r>
    <x v="167"/>
    <d v="2024-04-04T00:00:00"/>
    <x v="2"/>
    <x v="0"/>
    <x v="8"/>
    <x v="1"/>
    <x v="0"/>
    <x v="0"/>
    <n v="2"/>
    <n v="18.989999999999998"/>
    <n v="37.979999999999997"/>
    <n v="4"/>
    <x v="0"/>
  </r>
  <r>
    <x v="168"/>
    <d v="2024-09-19T00:00:00"/>
    <x v="1"/>
    <x v="0"/>
    <x v="5"/>
    <x v="1"/>
    <x v="10"/>
    <x v="0"/>
    <n v="1"/>
    <n v="22.99"/>
    <n v="22.99"/>
    <n v="4"/>
    <x v="0"/>
  </r>
  <r>
    <x v="169"/>
    <d v="2025-07-27T00:00:00"/>
    <x v="0"/>
    <x v="1"/>
    <x v="3"/>
    <x v="2"/>
    <x v="24"/>
    <x v="3"/>
    <n v="2"/>
    <n v="9.99"/>
    <n v="19.98"/>
    <n v="5"/>
    <x v="0"/>
  </r>
  <r>
    <x v="170"/>
    <d v="2024-05-26T00:00:00"/>
    <x v="4"/>
    <x v="0"/>
    <x v="9"/>
    <x v="2"/>
    <x v="4"/>
    <x v="1"/>
    <n v="1"/>
    <n v="7.99"/>
    <n v="7.99"/>
    <n v="5"/>
    <x v="0"/>
  </r>
  <r>
    <x v="171"/>
    <d v="2024-10-13T00:00:00"/>
    <x v="6"/>
    <x v="0"/>
    <x v="0"/>
    <x v="2"/>
    <x v="20"/>
    <x v="1"/>
    <n v="2"/>
    <n v="5.99"/>
    <n v="11.98"/>
    <n v="5"/>
    <x v="0"/>
  </r>
  <r>
    <x v="172"/>
    <d v="2024-04-07T00:00:00"/>
    <x v="2"/>
    <x v="0"/>
    <x v="3"/>
    <x v="2"/>
    <x v="12"/>
    <x v="2"/>
    <n v="4"/>
    <n v="10.99"/>
    <n v="43.96"/>
    <n v="3"/>
    <x v="0"/>
  </r>
  <r>
    <x v="173"/>
    <d v="2025-01-03T00:00:00"/>
    <x v="9"/>
    <x v="1"/>
    <x v="7"/>
    <x v="0"/>
    <x v="5"/>
    <x v="0"/>
    <n v="1"/>
    <n v="16.989999999999998"/>
    <n v="16.989999999999998"/>
    <n v="5"/>
    <x v="0"/>
  </r>
  <r>
    <x v="174"/>
    <d v="2024-07-06T00:00:00"/>
    <x v="0"/>
    <x v="0"/>
    <x v="8"/>
    <x v="0"/>
    <x v="0"/>
    <x v="0"/>
    <n v="3"/>
    <n v="18.989999999999998"/>
    <n v="56.97"/>
    <n v="5"/>
    <x v="0"/>
  </r>
  <r>
    <x v="175"/>
    <d v="2024-03-08T00:00:00"/>
    <x v="11"/>
    <x v="0"/>
    <x v="4"/>
    <x v="0"/>
    <x v="10"/>
    <x v="0"/>
    <n v="2"/>
    <n v="22.99"/>
    <n v="45.98"/>
    <n v="4"/>
    <x v="0"/>
  </r>
  <r>
    <x v="176"/>
    <d v="2025-01-24T00:00:00"/>
    <x v="9"/>
    <x v="1"/>
    <x v="4"/>
    <x v="2"/>
    <x v="15"/>
    <x v="3"/>
    <n v="2"/>
    <n v="7.99"/>
    <n v="15.98"/>
    <n v="4"/>
    <x v="0"/>
  </r>
  <r>
    <x v="177"/>
    <d v="2024-11-29T00:00:00"/>
    <x v="5"/>
    <x v="0"/>
    <x v="0"/>
    <x v="2"/>
    <x v="11"/>
    <x v="1"/>
    <n v="1"/>
    <n v="6.99"/>
    <n v="6.99"/>
    <n v="5"/>
    <x v="0"/>
  </r>
  <r>
    <x v="178"/>
    <d v="2025-04-19T00:00:00"/>
    <x v="2"/>
    <x v="1"/>
    <x v="7"/>
    <x v="2"/>
    <x v="5"/>
    <x v="0"/>
    <n v="1"/>
    <n v="16.989999999999998"/>
    <n v="16.989999999999998"/>
    <n v="3"/>
    <x v="0"/>
  </r>
  <r>
    <x v="179"/>
    <d v="2025-06-19T00:00:00"/>
    <x v="3"/>
    <x v="1"/>
    <x v="8"/>
    <x v="2"/>
    <x v="6"/>
    <x v="0"/>
    <n v="1"/>
    <n v="24.99"/>
    <n v="24.99"/>
    <n v="4"/>
    <x v="0"/>
  </r>
  <r>
    <x v="180"/>
    <d v="2025-01-11T00:00:00"/>
    <x v="9"/>
    <x v="1"/>
    <x v="4"/>
    <x v="1"/>
    <x v="18"/>
    <x v="3"/>
    <n v="2"/>
    <n v="10.99"/>
    <n v="21.98"/>
    <n v="5"/>
    <x v="0"/>
  </r>
  <r>
    <x v="181"/>
    <d v="2024-11-10T00:00:00"/>
    <x v="5"/>
    <x v="0"/>
    <x v="7"/>
    <x v="1"/>
    <x v="21"/>
    <x v="1"/>
    <n v="3"/>
    <n v="4.99"/>
    <n v="14.97"/>
    <n v="3"/>
    <x v="0"/>
  </r>
  <r>
    <x v="182"/>
    <d v="2025-03-22T00:00:00"/>
    <x v="11"/>
    <x v="1"/>
    <x v="4"/>
    <x v="0"/>
    <x v="12"/>
    <x v="2"/>
    <n v="1"/>
    <n v="10.99"/>
    <n v="10.99"/>
    <n v="4"/>
    <x v="0"/>
  </r>
  <r>
    <x v="183"/>
    <d v="2025-01-18T00:00:00"/>
    <x v="9"/>
    <x v="1"/>
    <x v="6"/>
    <x v="1"/>
    <x v="20"/>
    <x v="1"/>
    <n v="1"/>
    <n v="5.99"/>
    <n v="5.99"/>
    <n v="4"/>
    <x v="0"/>
  </r>
  <r>
    <x v="184"/>
    <d v="2024-03-17T00:00:00"/>
    <x v="11"/>
    <x v="0"/>
    <x v="4"/>
    <x v="0"/>
    <x v="10"/>
    <x v="0"/>
    <n v="1"/>
    <n v="22.99"/>
    <n v="22.99"/>
    <n v="5"/>
    <x v="0"/>
  </r>
  <r>
    <x v="185"/>
    <d v="2025-07-08T00:00:00"/>
    <x v="0"/>
    <x v="1"/>
    <x v="8"/>
    <x v="1"/>
    <x v="19"/>
    <x v="0"/>
    <n v="2"/>
    <n v="17.989999999999998"/>
    <n v="35.979999999999997"/>
    <n v="4"/>
    <x v="0"/>
  </r>
  <r>
    <x v="186"/>
    <d v="2025-09-05T00:00:00"/>
    <x v="1"/>
    <x v="1"/>
    <x v="6"/>
    <x v="0"/>
    <x v="16"/>
    <x v="3"/>
    <n v="4"/>
    <n v="8.99"/>
    <n v="35.96"/>
    <n v="3"/>
    <x v="0"/>
  </r>
  <r>
    <x v="187"/>
    <d v="2024-08-03T00:00:00"/>
    <x v="10"/>
    <x v="0"/>
    <x v="0"/>
    <x v="2"/>
    <x v="5"/>
    <x v="0"/>
    <n v="1"/>
    <n v="16.989999999999998"/>
    <n v="16.989999999999998"/>
    <n v="4"/>
    <x v="0"/>
  </r>
  <r>
    <x v="188"/>
    <d v="2024-09-03T00:00:00"/>
    <x v="1"/>
    <x v="0"/>
    <x v="5"/>
    <x v="2"/>
    <x v="5"/>
    <x v="0"/>
    <n v="1"/>
    <n v="16.989999999999998"/>
    <n v="16.989999999999998"/>
    <n v="4"/>
    <x v="0"/>
  </r>
  <r>
    <x v="189"/>
    <d v="2025-11-09T00:00:00"/>
    <x v="5"/>
    <x v="1"/>
    <x v="3"/>
    <x v="0"/>
    <x v="4"/>
    <x v="1"/>
    <n v="1"/>
    <n v="7.99"/>
    <n v="7.99"/>
    <n v="4"/>
    <x v="0"/>
  </r>
  <r>
    <x v="190"/>
    <d v="2024-05-06T00:00:00"/>
    <x v="4"/>
    <x v="0"/>
    <x v="9"/>
    <x v="2"/>
    <x v="5"/>
    <x v="0"/>
    <n v="1"/>
    <n v="16.989999999999998"/>
    <n v="16.989999999999998"/>
    <n v="4"/>
    <x v="0"/>
  </r>
  <r>
    <x v="191"/>
    <d v="2025-09-21T00:00:00"/>
    <x v="1"/>
    <x v="1"/>
    <x v="1"/>
    <x v="2"/>
    <x v="5"/>
    <x v="0"/>
    <n v="3"/>
    <n v="16.989999999999998"/>
    <n v="50.97"/>
    <n v="3"/>
    <x v="0"/>
  </r>
  <r>
    <x v="192"/>
    <d v="2024-06-28T00:00:00"/>
    <x v="3"/>
    <x v="0"/>
    <x v="3"/>
    <x v="2"/>
    <x v="22"/>
    <x v="2"/>
    <n v="1"/>
    <n v="14.99"/>
    <n v="14.99"/>
    <n v="5"/>
    <x v="0"/>
  </r>
  <r>
    <x v="193"/>
    <d v="2024-10-07T00:00:00"/>
    <x v="6"/>
    <x v="0"/>
    <x v="6"/>
    <x v="2"/>
    <x v="21"/>
    <x v="1"/>
    <n v="1"/>
    <n v="4.99"/>
    <n v="4.99"/>
    <n v="3"/>
    <x v="0"/>
  </r>
  <r>
    <x v="194"/>
    <d v="2025-11-18T00:00:00"/>
    <x v="5"/>
    <x v="1"/>
    <x v="3"/>
    <x v="1"/>
    <x v="0"/>
    <x v="0"/>
    <n v="2"/>
    <n v="18.989999999999998"/>
    <n v="37.979999999999997"/>
    <n v="4"/>
    <x v="0"/>
  </r>
  <r>
    <x v="195"/>
    <d v="2025-06-17T00:00:00"/>
    <x v="3"/>
    <x v="1"/>
    <x v="7"/>
    <x v="0"/>
    <x v="15"/>
    <x v="3"/>
    <n v="3"/>
    <n v="7.99"/>
    <n v="23.97"/>
    <n v="4"/>
    <x v="0"/>
  </r>
  <r>
    <x v="196"/>
    <d v="2024-06-08T00:00:00"/>
    <x v="3"/>
    <x v="0"/>
    <x v="8"/>
    <x v="0"/>
    <x v="22"/>
    <x v="2"/>
    <n v="2"/>
    <n v="14.99"/>
    <n v="29.98"/>
    <n v="2"/>
    <x v="1"/>
  </r>
  <r>
    <x v="197"/>
    <d v="2024-11-21T00:00:00"/>
    <x v="5"/>
    <x v="0"/>
    <x v="2"/>
    <x v="2"/>
    <x v="11"/>
    <x v="1"/>
    <n v="4"/>
    <n v="6.99"/>
    <n v="27.96"/>
    <n v="3"/>
    <x v="0"/>
  </r>
  <r>
    <x v="198"/>
    <d v="2025-01-02T00:00:00"/>
    <x v="9"/>
    <x v="1"/>
    <x v="3"/>
    <x v="1"/>
    <x v="6"/>
    <x v="0"/>
    <n v="1"/>
    <n v="24.99"/>
    <n v="24.99"/>
    <n v="4"/>
    <x v="0"/>
  </r>
  <r>
    <x v="199"/>
    <d v="2024-08-16T00:00:00"/>
    <x v="10"/>
    <x v="0"/>
    <x v="0"/>
    <x v="2"/>
    <x v="9"/>
    <x v="0"/>
    <n v="1"/>
    <n v="32.99"/>
    <n v="32.99"/>
    <n v="5"/>
    <x v="0"/>
  </r>
  <r>
    <x v="200"/>
    <d v="2024-11-29T00:00:00"/>
    <x v="5"/>
    <x v="0"/>
    <x v="4"/>
    <x v="2"/>
    <x v="0"/>
    <x v="0"/>
    <n v="1"/>
    <n v="18.989999999999998"/>
    <n v="18.989999999999998"/>
    <n v="4"/>
    <x v="0"/>
  </r>
  <r>
    <x v="201"/>
    <d v="2025-06-09T00:00:00"/>
    <x v="3"/>
    <x v="1"/>
    <x v="1"/>
    <x v="2"/>
    <x v="4"/>
    <x v="1"/>
    <n v="2"/>
    <n v="7.99"/>
    <n v="15.98"/>
    <n v="4"/>
    <x v="0"/>
  </r>
  <r>
    <x v="202"/>
    <d v="2024-05-11T00:00:00"/>
    <x v="4"/>
    <x v="0"/>
    <x v="1"/>
    <x v="0"/>
    <x v="5"/>
    <x v="0"/>
    <n v="1"/>
    <n v="16.989999999999998"/>
    <n v="16.989999999999998"/>
    <n v="4"/>
    <x v="0"/>
  </r>
  <r>
    <x v="203"/>
    <d v="2024-11-29T00:00:00"/>
    <x v="5"/>
    <x v="0"/>
    <x v="5"/>
    <x v="0"/>
    <x v="15"/>
    <x v="3"/>
    <n v="1"/>
    <n v="7.99"/>
    <n v="7.99"/>
    <n v="5"/>
    <x v="0"/>
  </r>
  <r>
    <x v="204"/>
    <d v="2024-06-23T00:00:00"/>
    <x v="3"/>
    <x v="0"/>
    <x v="5"/>
    <x v="2"/>
    <x v="5"/>
    <x v="0"/>
    <n v="1"/>
    <n v="16.989999999999998"/>
    <n v="16.989999999999998"/>
    <n v="5"/>
    <x v="0"/>
  </r>
  <r>
    <x v="205"/>
    <d v="2025-11-17T00:00:00"/>
    <x v="5"/>
    <x v="1"/>
    <x v="6"/>
    <x v="1"/>
    <x v="15"/>
    <x v="3"/>
    <n v="1"/>
    <n v="7.99"/>
    <n v="7.99"/>
    <n v="1"/>
    <x v="1"/>
  </r>
  <r>
    <x v="206"/>
    <d v="2025-03-05T00:00:00"/>
    <x v="11"/>
    <x v="1"/>
    <x v="8"/>
    <x v="2"/>
    <x v="2"/>
    <x v="2"/>
    <n v="1"/>
    <n v="8.99"/>
    <n v="8.99"/>
    <n v="5"/>
    <x v="0"/>
  </r>
  <r>
    <x v="207"/>
    <d v="2025-11-14T00:00:00"/>
    <x v="5"/>
    <x v="1"/>
    <x v="2"/>
    <x v="2"/>
    <x v="14"/>
    <x v="2"/>
    <n v="2"/>
    <n v="9.99"/>
    <n v="19.98"/>
    <n v="5"/>
    <x v="0"/>
  </r>
  <r>
    <x v="208"/>
    <d v="2024-09-08T00:00:00"/>
    <x v="1"/>
    <x v="0"/>
    <x v="2"/>
    <x v="0"/>
    <x v="5"/>
    <x v="0"/>
    <n v="1"/>
    <n v="16.989999999999998"/>
    <n v="16.989999999999998"/>
    <n v="5"/>
    <x v="0"/>
  </r>
  <r>
    <x v="209"/>
    <d v="2024-03-16T00:00:00"/>
    <x v="11"/>
    <x v="0"/>
    <x v="7"/>
    <x v="1"/>
    <x v="1"/>
    <x v="1"/>
    <n v="1"/>
    <n v="9.99"/>
    <n v="9.99"/>
    <n v="4"/>
    <x v="0"/>
  </r>
  <r>
    <x v="210"/>
    <d v="2024-06-20T00:00:00"/>
    <x v="3"/>
    <x v="0"/>
    <x v="9"/>
    <x v="0"/>
    <x v="3"/>
    <x v="1"/>
    <n v="2"/>
    <n v="3.49"/>
    <n v="6.98"/>
    <n v="5"/>
    <x v="0"/>
  </r>
  <r>
    <x v="211"/>
    <d v="2025-10-26T00:00:00"/>
    <x v="6"/>
    <x v="1"/>
    <x v="6"/>
    <x v="0"/>
    <x v="9"/>
    <x v="0"/>
    <n v="2"/>
    <n v="32.99"/>
    <n v="65.98"/>
    <n v="4"/>
    <x v="0"/>
  </r>
  <r>
    <x v="212"/>
    <d v="2024-01-15T00:00:00"/>
    <x v="9"/>
    <x v="0"/>
    <x v="4"/>
    <x v="0"/>
    <x v="6"/>
    <x v="0"/>
    <n v="1"/>
    <n v="24.99"/>
    <n v="24.99"/>
    <n v="3"/>
    <x v="0"/>
  </r>
  <r>
    <x v="213"/>
    <d v="2025-10-30T00:00:00"/>
    <x v="6"/>
    <x v="1"/>
    <x v="6"/>
    <x v="1"/>
    <x v="16"/>
    <x v="3"/>
    <n v="1"/>
    <n v="8.99"/>
    <n v="8.99"/>
    <n v="4"/>
    <x v="0"/>
  </r>
  <r>
    <x v="214"/>
    <d v="2024-03-19T00:00:00"/>
    <x v="11"/>
    <x v="0"/>
    <x v="0"/>
    <x v="0"/>
    <x v="1"/>
    <x v="1"/>
    <n v="2"/>
    <n v="9.99"/>
    <n v="19.98"/>
    <n v="4"/>
    <x v="0"/>
  </r>
  <r>
    <x v="215"/>
    <d v="2024-12-26T00:00:00"/>
    <x v="7"/>
    <x v="0"/>
    <x v="4"/>
    <x v="1"/>
    <x v="21"/>
    <x v="1"/>
    <n v="1"/>
    <n v="4.99"/>
    <n v="4.99"/>
    <n v="4"/>
    <x v="0"/>
  </r>
  <r>
    <x v="216"/>
    <d v="2025-11-15T00:00:00"/>
    <x v="5"/>
    <x v="1"/>
    <x v="9"/>
    <x v="1"/>
    <x v="2"/>
    <x v="2"/>
    <n v="2"/>
    <n v="8.99"/>
    <n v="17.98"/>
    <n v="4"/>
    <x v="0"/>
  </r>
  <r>
    <x v="217"/>
    <d v="2025-07-11T00:00:00"/>
    <x v="0"/>
    <x v="1"/>
    <x v="8"/>
    <x v="2"/>
    <x v="19"/>
    <x v="0"/>
    <n v="2"/>
    <n v="17.989999999999998"/>
    <n v="35.979999999999997"/>
    <n v="3"/>
    <x v="0"/>
  </r>
  <r>
    <x v="218"/>
    <d v="2025-02-25T00:00:00"/>
    <x v="8"/>
    <x v="1"/>
    <x v="1"/>
    <x v="0"/>
    <x v="20"/>
    <x v="1"/>
    <n v="1"/>
    <n v="5.99"/>
    <n v="5.99"/>
    <n v="4"/>
    <x v="0"/>
  </r>
  <r>
    <x v="219"/>
    <d v="2024-10-19T00:00:00"/>
    <x v="6"/>
    <x v="0"/>
    <x v="3"/>
    <x v="1"/>
    <x v="10"/>
    <x v="0"/>
    <n v="2"/>
    <n v="22.99"/>
    <n v="45.98"/>
    <n v="4"/>
    <x v="0"/>
  </r>
  <r>
    <x v="220"/>
    <d v="2025-05-26T00:00:00"/>
    <x v="4"/>
    <x v="1"/>
    <x v="3"/>
    <x v="2"/>
    <x v="12"/>
    <x v="2"/>
    <n v="4"/>
    <n v="10.99"/>
    <n v="43.96"/>
    <n v="5"/>
    <x v="0"/>
  </r>
  <r>
    <x v="221"/>
    <d v="2025-04-12T00:00:00"/>
    <x v="2"/>
    <x v="1"/>
    <x v="4"/>
    <x v="2"/>
    <x v="13"/>
    <x v="0"/>
    <n v="1"/>
    <n v="15.99"/>
    <n v="15.99"/>
    <n v="5"/>
    <x v="0"/>
  </r>
  <r>
    <x v="222"/>
    <d v="2024-10-28T00:00:00"/>
    <x v="6"/>
    <x v="0"/>
    <x v="2"/>
    <x v="2"/>
    <x v="14"/>
    <x v="2"/>
    <n v="1"/>
    <n v="9.99"/>
    <n v="9.99"/>
    <n v="4"/>
    <x v="0"/>
  </r>
  <r>
    <x v="223"/>
    <d v="2025-04-21T00:00:00"/>
    <x v="2"/>
    <x v="1"/>
    <x v="8"/>
    <x v="0"/>
    <x v="9"/>
    <x v="0"/>
    <n v="4"/>
    <n v="32.99"/>
    <n v="131.96"/>
    <n v="5"/>
    <x v="0"/>
  </r>
  <r>
    <x v="224"/>
    <d v="2024-12-25T00:00:00"/>
    <x v="7"/>
    <x v="0"/>
    <x v="5"/>
    <x v="2"/>
    <x v="3"/>
    <x v="1"/>
    <n v="1"/>
    <n v="3.49"/>
    <n v="3.49"/>
    <n v="5"/>
    <x v="0"/>
  </r>
  <r>
    <x v="225"/>
    <d v="2025-08-16T00:00:00"/>
    <x v="10"/>
    <x v="1"/>
    <x v="0"/>
    <x v="0"/>
    <x v="4"/>
    <x v="1"/>
    <n v="1"/>
    <n v="7.99"/>
    <n v="7.99"/>
    <n v="4"/>
    <x v="0"/>
  </r>
  <r>
    <x v="226"/>
    <d v="2025-01-15T00:00:00"/>
    <x v="9"/>
    <x v="1"/>
    <x v="5"/>
    <x v="2"/>
    <x v="9"/>
    <x v="0"/>
    <n v="2"/>
    <n v="32.99"/>
    <n v="65.98"/>
    <n v="5"/>
    <x v="0"/>
  </r>
  <r>
    <x v="227"/>
    <d v="2025-02-14T00:00:00"/>
    <x v="8"/>
    <x v="1"/>
    <x v="7"/>
    <x v="2"/>
    <x v="22"/>
    <x v="2"/>
    <n v="2"/>
    <n v="14.99"/>
    <n v="29.98"/>
    <n v="5"/>
    <x v="0"/>
  </r>
  <r>
    <x v="228"/>
    <d v="2024-11-10T00:00:00"/>
    <x v="5"/>
    <x v="0"/>
    <x v="2"/>
    <x v="2"/>
    <x v="10"/>
    <x v="0"/>
    <n v="2"/>
    <n v="22.99"/>
    <n v="45.98"/>
    <n v="3"/>
    <x v="0"/>
  </r>
  <r>
    <x v="229"/>
    <d v="2024-06-19T00:00:00"/>
    <x v="3"/>
    <x v="0"/>
    <x v="5"/>
    <x v="0"/>
    <x v="9"/>
    <x v="0"/>
    <n v="3"/>
    <n v="32.99"/>
    <n v="98.97"/>
    <n v="5"/>
    <x v="0"/>
  </r>
  <r>
    <x v="230"/>
    <d v="2025-10-21T00:00:00"/>
    <x v="6"/>
    <x v="1"/>
    <x v="0"/>
    <x v="1"/>
    <x v="11"/>
    <x v="1"/>
    <n v="1"/>
    <n v="6.99"/>
    <n v="6.99"/>
    <n v="4"/>
    <x v="0"/>
  </r>
  <r>
    <x v="231"/>
    <d v="2024-11-14T00:00:00"/>
    <x v="5"/>
    <x v="0"/>
    <x v="3"/>
    <x v="2"/>
    <x v="0"/>
    <x v="0"/>
    <n v="3"/>
    <n v="18.989999999999998"/>
    <n v="56.97"/>
    <n v="4"/>
    <x v="0"/>
  </r>
  <r>
    <x v="232"/>
    <d v="2024-11-24T00:00:00"/>
    <x v="5"/>
    <x v="0"/>
    <x v="3"/>
    <x v="0"/>
    <x v="8"/>
    <x v="2"/>
    <n v="2"/>
    <n v="11.99"/>
    <n v="23.98"/>
    <n v="4"/>
    <x v="0"/>
  </r>
  <r>
    <x v="233"/>
    <d v="2025-03-27T00:00:00"/>
    <x v="11"/>
    <x v="1"/>
    <x v="6"/>
    <x v="1"/>
    <x v="3"/>
    <x v="1"/>
    <n v="1"/>
    <n v="3.49"/>
    <n v="3.49"/>
    <n v="2"/>
    <x v="1"/>
  </r>
  <r>
    <x v="234"/>
    <d v="2024-08-25T00:00:00"/>
    <x v="10"/>
    <x v="0"/>
    <x v="7"/>
    <x v="1"/>
    <x v="5"/>
    <x v="0"/>
    <n v="1"/>
    <n v="16.989999999999998"/>
    <n v="16.989999999999998"/>
    <n v="3"/>
    <x v="0"/>
  </r>
  <r>
    <x v="235"/>
    <d v="2024-06-27T00:00:00"/>
    <x v="3"/>
    <x v="0"/>
    <x v="5"/>
    <x v="0"/>
    <x v="5"/>
    <x v="0"/>
    <n v="3"/>
    <n v="16.989999999999998"/>
    <n v="50.97"/>
    <n v="3"/>
    <x v="0"/>
  </r>
  <r>
    <x v="236"/>
    <d v="2025-08-30T00:00:00"/>
    <x v="10"/>
    <x v="1"/>
    <x v="9"/>
    <x v="2"/>
    <x v="15"/>
    <x v="3"/>
    <n v="2"/>
    <n v="7.99"/>
    <n v="15.98"/>
    <n v="3"/>
    <x v="0"/>
  </r>
  <r>
    <x v="237"/>
    <d v="2025-10-05T00:00:00"/>
    <x v="6"/>
    <x v="1"/>
    <x v="1"/>
    <x v="1"/>
    <x v="18"/>
    <x v="3"/>
    <n v="3"/>
    <n v="10.99"/>
    <n v="32.97"/>
    <n v="4"/>
    <x v="0"/>
  </r>
  <r>
    <x v="238"/>
    <d v="2025-04-19T00:00:00"/>
    <x v="2"/>
    <x v="1"/>
    <x v="5"/>
    <x v="0"/>
    <x v="6"/>
    <x v="0"/>
    <n v="1"/>
    <n v="24.99"/>
    <n v="24.99"/>
    <n v="4"/>
    <x v="0"/>
  </r>
  <r>
    <x v="239"/>
    <d v="2024-10-06T00:00:00"/>
    <x v="6"/>
    <x v="0"/>
    <x v="4"/>
    <x v="2"/>
    <x v="16"/>
    <x v="3"/>
    <n v="1"/>
    <n v="8.99"/>
    <n v="8.99"/>
    <n v="5"/>
    <x v="0"/>
  </r>
  <r>
    <x v="240"/>
    <d v="2024-09-18T00:00:00"/>
    <x v="1"/>
    <x v="0"/>
    <x v="5"/>
    <x v="1"/>
    <x v="4"/>
    <x v="1"/>
    <n v="2"/>
    <n v="7.99"/>
    <n v="15.98"/>
    <n v="4"/>
    <x v="0"/>
  </r>
  <r>
    <x v="241"/>
    <d v="2024-10-18T00:00:00"/>
    <x v="6"/>
    <x v="0"/>
    <x v="1"/>
    <x v="1"/>
    <x v="15"/>
    <x v="3"/>
    <n v="1"/>
    <n v="7.99"/>
    <n v="7.99"/>
    <n v="5"/>
    <x v="0"/>
  </r>
  <r>
    <x v="242"/>
    <d v="2024-11-16T00:00:00"/>
    <x v="5"/>
    <x v="0"/>
    <x v="1"/>
    <x v="2"/>
    <x v="12"/>
    <x v="2"/>
    <n v="1"/>
    <n v="10.99"/>
    <n v="10.99"/>
    <n v="5"/>
    <x v="0"/>
  </r>
  <r>
    <x v="243"/>
    <d v="2024-02-21T00:00:00"/>
    <x v="8"/>
    <x v="0"/>
    <x v="8"/>
    <x v="2"/>
    <x v="22"/>
    <x v="2"/>
    <n v="2"/>
    <n v="14.99"/>
    <n v="29.98"/>
    <n v="2"/>
    <x v="1"/>
  </r>
  <r>
    <x v="244"/>
    <d v="2024-01-29T00:00:00"/>
    <x v="9"/>
    <x v="0"/>
    <x v="9"/>
    <x v="0"/>
    <x v="19"/>
    <x v="0"/>
    <n v="3"/>
    <n v="17.989999999999998"/>
    <n v="53.97"/>
    <n v="3"/>
    <x v="0"/>
  </r>
  <r>
    <x v="245"/>
    <d v="2024-07-20T00:00:00"/>
    <x v="0"/>
    <x v="0"/>
    <x v="5"/>
    <x v="0"/>
    <x v="10"/>
    <x v="0"/>
    <n v="1"/>
    <n v="22.99"/>
    <n v="22.99"/>
    <n v="4"/>
    <x v="0"/>
  </r>
  <r>
    <x v="246"/>
    <d v="2025-11-16T00:00:00"/>
    <x v="5"/>
    <x v="1"/>
    <x v="9"/>
    <x v="2"/>
    <x v="8"/>
    <x v="2"/>
    <n v="2"/>
    <n v="11.99"/>
    <n v="23.98"/>
    <n v="4"/>
    <x v="0"/>
  </r>
  <r>
    <x v="247"/>
    <d v="2025-11-29T00:00:00"/>
    <x v="5"/>
    <x v="1"/>
    <x v="3"/>
    <x v="0"/>
    <x v="14"/>
    <x v="2"/>
    <n v="3"/>
    <n v="9.99"/>
    <n v="29.97"/>
    <n v="3"/>
    <x v="0"/>
  </r>
  <r>
    <x v="248"/>
    <d v="2025-12-19T00:00:00"/>
    <x v="7"/>
    <x v="1"/>
    <x v="6"/>
    <x v="0"/>
    <x v="24"/>
    <x v="3"/>
    <n v="1"/>
    <n v="9.99"/>
    <n v="9.99"/>
    <n v="5"/>
    <x v="0"/>
  </r>
  <r>
    <x v="249"/>
    <d v="2024-03-08T00:00:00"/>
    <x v="11"/>
    <x v="0"/>
    <x v="5"/>
    <x v="0"/>
    <x v="9"/>
    <x v="0"/>
    <n v="1"/>
    <n v="32.99"/>
    <n v="32.99"/>
    <n v="4"/>
    <x v="0"/>
  </r>
  <r>
    <x v="250"/>
    <d v="2024-07-17T00:00:00"/>
    <x v="0"/>
    <x v="0"/>
    <x v="2"/>
    <x v="1"/>
    <x v="23"/>
    <x v="3"/>
    <n v="2"/>
    <n v="11.99"/>
    <n v="23.98"/>
    <n v="4"/>
    <x v="0"/>
  </r>
  <r>
    <x v="251"/>
    <d v="2025-10-30T00:00:00"/>
    <x v="6"/>
    <x v="1"/>
    <x v="6"/>
    <x v="1"/>
    <x v="12"/>
    <x v="2"/>
    <n v="2"/>
    <n v="10.99"/>
    <n v="21.98"/>
    <n v="4"/>
    <x v="0"/>
  </r>
  <r>
    <x v="252"/>
    <d v="2024-06-26T00:00:00"/>
    <x v="3"/>
    <x v="0"/>
    <x v="8"/>
    <x v="0"/>
    <x v="2"/>
    <x v="2"/>
    <n v="1"/>
    <n v="8.99"/>
    <n v="8.99"/>
    <n v="4"/>
    <x v="0"/>
  </r>
  <r>
    <x v="253"/>
    <d v="2024-12-27T00:00:00"/>
    <x v="7"/>
    <x v="0"/>
    <x v="0"/>
    <x v="2"/>
    <x v="13"/>
    <x v="0"/>
    <n v="2"/>
    <n v="15.99"/>
    <n v="31.98"/>
    <n v="5"/>
    <x v="0"/>
  </r>
  <r>
    <x v="254"/>
    <d v="2025-06-22T00:00:00"/>
    <x v="3"/>
    <x v="1"/>
    <x v="0"/>
    <x v="0"/>
    <x v="20"/>
    <x v="1"/>
    <n v="1"/>
    <n v="5.99"/>
    <n v="5.99"/>
    <n v="5"/>
    <x v="0"/>
  </r>
  <r>
    <x v="255"/>
    <d v="2025-10-10T00:00:00"/>
    <x v="6"/>
    <x v="1"/>
    <x v="4"/>
    <x v="0"/>
    <x v="18"/>
    <x v="3"/>
    <n v="3"/>
    <n v="10.99"/>
    <n v="32.97"/>
    <n v="3"/>
    <x v="0"/>
  </r>
  <r>
    <x v="256"/>
    <d v="2024-11-30T00:00:00"/>
    <x v="5"/>
    <x v="0"/>
    <x v="6"/>
    <x v="0"/>
    <x v="5"/>
    <x v="0"/>
    <n v="2"/>
    <n v="16.989999999999998"/>
    <n v="33.979999999999997"/>
    <n v="4"/>
    <x v="0"/>
  </r>
  <r>
    <x v="257"/>
    <d v="2024-04-19T00:00:00"/>
    <x v="2"/>
    <x v="0"/>
    <x v="7"/>
    <x v="2"/>
    <x v="11"/>
    <x v="1"/>
    <n v="2"/>
    <n v="6.99"/>
    <n v="13.98"/>
    <n v="5"/>
    <x v="0"/>
  </r>
  <r>
    <x v="258"/>
    <d v="2025-02-10T00:00:00"/>
    <x v="8"/>
    <x v="1"/>
    <x v="9"/>
    <x v="0"/>
    <x v="5"/>
    <x v="0"/>
    <n v="3"/>
    <n v="16.989999999999998"/>
    <n v="50.97"/>
    <n v="5"/>
    <x v="0"/>
  </r>
  <r>
    <x v="259"/>
    <d v="2024-03-23T00:00:00"/>
    <x v="11"/>
    <x v="0"/>
    <x v="8"/>
    <x v="2"/>
    <x v="4"/>
    <x v="1"/>
    <n v="1"/>
    <n v="7.99"/>
    <n v="7.99"/>
    <n v="4"/>
    <x v="0"/>
  </r>
  <r>
    <x v="260"/>
    <d v="2024-08-20T00:00:00"/>
    <x v="10"/>
    <x v="0"/>
    <x v="9"/>
    <x v="2"/>
    <x v="23"/>
    <x v="3"/>
    <n v="2"/>
    <n v="11.99"/>
    <n v="23.98"/>
    <n v="4"/>
    <x v="0"/>
  </r>
  <r>
    <x v="261"/>
    <d v="2025-02-09T00:00:00"/>
    <x v="8"/>
    <x v="1"/>
    <x v="4"/>
    <x v="1"/>
    <x v="5"/>
    <x v="0"/>
    <n v="1"/>
    <n v="16.989999999999998"/>
    <n v="16.989999999999998"/>
    <n v="5"/>
    <x v="0"/>
  </r>
  <r>
    <x v="262"/>
    <d v="2024-04-23T00:00:00"/>
    <x v="2"/>
    <x v="0"/>
    <x v="4"/>
    <x v="2"/>
    <x v="18"/>
    <x v="3"/>
    <n v="1"/>
    <n v="10.99"/>
    <n v="10.99"/>
    <n v="3"/>
    <x v="0"/>
  </r>
  <r>
    <x v="263"/>
    <d v="2024-10-21T00:00:00"/>
    <x v="6"/>
    <x v="0"/>
    <x v="4"/>
    <x v="2"/>
    <x v="4"/>
    <x v="1"/>
    <n v="3"/>
    <n v="7.99"/>
    <n v="23.97"/>
    <n v="5"/>
    <x v="0"/>
  </r>
  <r>
    <x v="264"/>
    <d v="2024-11-08T00:00:00"/>
    <x v="5"/>
    <x v="0"/>
    <x v="7"/>
    <x v="0"/>
    <x v="1"/>
    <x v="1"/>
    <n v="1"/>
    <n v="9.99"/>
    <n v="9.99"/>
    <n v="3"/>
    <x v="0"/>
  </r>
  <r>
    <x v="265"/>
    <d v="2025-06-27T00:00:00"/>
    <x v="3"/>
    <x v="1"/>
    <x v="3"/>
    <x v="0"/>
    <x v="0"/>
    <x v="0"/>
    <n v="1"/>
    <n v="18.989999999999998"/>
    <n v="18.989999999999998"/>
    <n v="5"/>
    <x v="0"/>
  </r>
  <r>
    <x v="266"/>
    <d v="2025-10-09T00:00:00"/>
    <x v="6"/>
    <x v="1"/>
    <x v="7"/>
    <x v="1"/>
    <x v="17"/>
    <x v="0"/>
    <n v="1"/>
    <n v="14.99"/>
    <n v="14.99"/>
    <n v="5"/>
    <x v="0"/>
  </r>
  <r>
    <x v="267"/>
    <d v="2025-11-14T00:00:00"/>
    <x v="5"/>
    <x v="1"/>
    <x v="1"/>
    <x v="2"/>
    <x v="4"/>
    <x v="1"/>
    <n v="4"/>
    <n v="7.99"/>
    <n v="31.96"/>
    <n v="4"/>
    <x v="0"/>
  </r>
  <r>
    <x v="268"/>
    <d v="2025-01-04T00:00:00"/>
    <x v="9"/>
    <x v="1"/>
    <x v="3"/>
    <x v="1"/>
    <x v="24"/>
    <x v="3"/>
    <n v="4"/>
    <n v="9.99"/>
    <n v="39.96"/>
    <n v="4"/>
    <x v="0"/>
  </r>
  <r>
    <x v="269"/>
    <d v="2025-10-12T00:00:00"/>
    <x v="6"/>
    <x v="1"/>
    <x v="8"/>
    <x v="0"/>
    <x v="23"/>
    <x v="3"/>
    <n v="1"/>
    <n v="11.99"/>
    <n v="11.99"/>
    <n v="3"/>
    <x v="0"/>
  </r>
  <r>
    <x v="270"/>
    <d v="2025-05-11T00:00:00"/>
    <x v="4"/>
    <x v="1"/>
    <x v="5"/>
    <x v="2"/>
    <x v="19"/>
    <x v="0"/>
    <n v="2"/>
    <n v="17.989999999999998"/>
    <n v="35.979999999999997"/>
    <n v="4"/>
    <x v="0"/>
  </r>
  <r>
    <x v="271"/>
    <d v="2025-07-26T00:00:00"/>
    <x v="0"/>
    <x v="1"/>
    <x v="9"/>
    <x v="1"/>
    <x v="18"/>
    <x v="3"/>
    <n v="3"/>
    <n v="10.99"/>
    <n v="32.97"/>
    <n v="4"/>
    <x v="0"/>
  </r>
  <r>
    <x v="272"/>
    <d v="2024-01-06T00:00:00"/>
    <x v="9"/>
    <x v="0"/>
    <x v="5"/>
    <x v="2"/>
    <x v="2"/>
    <x v="2"/>
    <n v="2"/>
    <n v="8.99"/>
    <n v="17.98"/>
    <n v="3"/>
    <x v="0"/>
  </r>
  <r>
    <x v="273"/>
    <d v="2025-12-15T00:00:00"/>
    <x v="7"/>
    <x v="1"/>
    <x v="4"/>
    <x v="2"/>
    <x v="17"/>
    <x v="0"/>
    <n v="1"/>
    <n v="14.99"/>
    <n v="14.99"/>
    <n v="4"/>
    <x v="0"/>
  </r>
  <r>
    <x v="274"/>
    <d v="2024-02-24T00:00:00"/>
    <x v="8"/>
    <x v="0"/>
    <x v="3"/>
    <x v="1"/>
    <x v="0"/>
    <x v="0"/>
    <n v="3"/>
    <n v="18.989999999999998"/>
    <n v="56.97"/>
    <n v="2"/>
    <x v="1"/>
  </r>
  <r>
    <x v="275"/>
    <d v="2025-04-05T00:00:00"/>
    <x v="2"/>
    <x v="1"/>
    <x v="6"/>
    <x v="1"/>
    <x v="10"/>
    <x v="0"/>
    <n v="1"/>
    <n v="22.99"/>
    <n v="22.99"/>
    <n v="4"/>
    <x v="0"/>
  </r>
  <r>
    <x v="276"/>
    <d v="2024-01-07T00:00:00"/>
    <x v="9"/>
    <x v="0"/>
    <x v="9"/>
    <x v="2"/>
    <x v="2"/>
    <x v="2"/>
    <n v="1"/>
    <n v="8.99"/>
    <n v="8.99"/>
    <n v="5"/>
    <x v="0"/>
  </r>
  <r>
    <x v="277"/>
    <d v="2024-05-02T00:00:00"/>
    <x v="4"/>
    <x v="0"/>
    <x v="2"/>
    <x v="0"/>
    <x v="3"/>
    <x v="1"/>
    <n v="2"/>
    <n v="3.49"/>
    <n v="6.98"/>
    <n v="5"/>
    <x v="0"/>
  </r>
  <r>
    <x v="278"/>
    <d v="2025-02-09T00:00:00"/>
    <x v="8"/>
    <x v="1"/>
    <x v="2"/>
    <x v="1"/>
    <x v="21"/>
    <x v="1"/>
    <n v="2"/>
    <n v="4.99"/>
    <n v="9.98"/>
    <n v="4"/>
    <x v="0"/>
  </r>
  <r>
    <x v="279"/>
    <d v="2025-09-28T00:00:00"/>
    <x v="1"/>
    <x v="1"/>
    <x v="0"/>
    <x v="0"/>
    <x v="0"/>
    <x v="0"/>
    <n v="1"/>
    <n v="18.989999999999998"/>
    <n v="18.989999999999998"/>
    <n v="4"/>
    <x v="0"/>
  </r>
  <r>
    <x v="280"/>
    <d v="2024-05-05T00:00:00"/>
    <x v="4"/>
    <x v="0"/>
    <x v="9"/>
    <x v="0"/>
    <x v="19"/>
    <x v="0"/>
    <n v="3"/>
    <n v="17.989999999999998"/>
    <n v="53.97"/>
    <n v="5"/>
    <x v="0"/>
  </r>
  <r>
    <x v="281"/>
    <d v="2025-09-05T00:00:00"/>
    <x v="1"/>
    <x v="1"/>
    <x v="6"/>
    <x v="1"/>
    <x v="0"/>
    <x v="0"/>
    <n v="1"/>
    <n v="18.989999999999998"/>
    <n v="18.989999999999998"/>
    <n v="4"/>
    <x v="0"/>
  </r>
  <r>
    <x v="282"/>
    <d v="2024-04-19T00:00:00"/>
    <x v="2"/>
    <x v="0"/>
    <x v="1"/>
    <x v="1"/>
    <x v="0"/>
    <x v="0"/>
    <n v="2"/>
    <n v="18.989999999999998"/>
    <n v="37.979999999999997"/>
    <n v="4"/>
    <x v="0"/>
  </r>
  <r>
    <x v="283"/>
    <d v="2024-12-07T00:00:00"/>
    <x v="7"/>
    <x v="0"/>
    <x v="1"/>
    <x v="0"/>
    <x v="12"/>
    <x v="2"/>
    <n v="3"/>
    <n v="10.99"/>
    <n v="32.97"/>
    <n v="4"/>
    <x v="0"/>
  </r>
  <r>
    <x v="284"/>
    <d v="2024-09-14T00:00:00"/>
    <x v="1"/>
    <x v="0"/>
    <x v="3"/>
    <x v="1"/>
    <x v="8"/>
    <x v="2"/>
    <n v="1"/>
    <n v="11.99"/>
    <n v="11.99"/>
    <n v="4"/>
    <x v="0"/>
  </r>
  <r>
    <x v="285"/>
    <d v="2024-08-31T00:00:00"/>
    <x v="10"/>
    <x v="0"/>
    <x v="0"/>
    <x v="0"/>
    <x v="6"/>
    <x v="0"/>
    <n v="1"/>
    <n v="24.99"/>
    <n v="24.99"/>
    <n v="3"/>
    <x v="0"/>
  </r>
  <r>
    <x v="286"/>
    <d v="2024-04-15T00:00:00"/>
    <x v="2"/>
    <x v="0"/>
    <x v="0"/>
    <x v="1"/>
    <x v="20"/>
    <x v="1"/>
    <n v="1"/>
    <n v="5.99"/>
    <n v="5.99"/>
    <n v="4"/>
    <x v="0"/>
  </r>
  <r>
    <x v="287"/>
    <d v="2025-04-10T00:00:00"/>
    <x v="2"/>
    <x v="1"/>
    <x v="3"/>
    <x v="1"/>
    <x v="9"/>
    <x v="0"/>
    <n v="1"/>
    <n v="32.99"/>
    <n v="32.99"/>
    <n v="4"/>
    <x v="0"/>
  </r>
  <r>
    <x v="288"/>
    <d v="2025-02-03T00:00:00"/>
    <x v="8"/>
    <x v="1"/>
    <x v="1"/>
    <x v="0"/>
    <x v="9"/>
    <x v="0"/>
    <n v="1"/>
    <n v="32.99"/>
    <n v="32.99"/>
    <n v="4"/>
    <x v="0"/>
  </r>
  <r>
    <x v="289"/>
    <d v="2024-06-09T00:00:00"/>
    <x v="3"/>
    <x v="0"/>
    <x v="7"/>
    <x v="2"/>
    <x v="20"/>
    <x v="1"/>
    <n v="1"/>
    <n v="5.99"/>
    <n v="5.99"/>
    <n v="5"/>
    <x v="0"/>
  </r>
  <r>
    <x v="290"/>
    <d v="2025-04-19T00:00:00"/>
    <x v="2"/>
    <x v="1"/>
    <x v="7"/>
    <x v="0"/>
    <x v="14"/>
    <x v="2"/>
    <n v="1"/>
    <n v="9.99"/>
    <n v="9.99"/>
    <n v="4"/>
    <x v="0"/>
  </r>
  <r>
    <x v="291"/>
    <d v="2025-08-28T00:00:00"/>
    <x v="10"/>
    <x v="1"/>
    <x v="1"/>
    <x v="0"/>
    <x v="15"/>
    <x v="3"/>
    <n v="1"/>
    <n v="7.99"/>
    <n v="7.99"/>
    <n v="2"/>
    <x v="1"/>
  </r>
  <r>
    <x v="292"/>
    <d v="2024-01-20T00:00:00"/>
    <x v="9"/>
    <x v="0"/>
    <x v="8"/>
    <x v="2"/>
    <x v="10"/>
    <x v="0"/>
    <n v="1"/>
    <n v="22.99"/>
    <n v="22.99"/>
    <n v="5"/>
    <x v="0"/>
  </r>
  <r>
    <x v="293"/>
    <d v="2025-06-15T00:00:00"/>
    <x v="3"/>
    <x v="1"/>
    <x v="2"/>
    <x v="0"/>
    <x v="13"/>
    <x v="0"/>
    <n v="2"/>
    <n v="15.99"/>
    <n v="31.98"/>
    <n v="4"/>
    <x v="0"/>
  </r>
  <r>
    <x v="294"/>
    <d v="2024-03-14T00:00:00"/>
    <x v="11"/>
    <x v="0"/>
    <x v="1"/>
    <x v="0"/>
    <x v="6"/>
    <x v="0"/>
    <n v="2"/>
    <n v="24.99"/>
    <n v="49.98"/>
    <n v="4"/>
    <x v="0"/>
  </r>
  <r>
    <x v="295"/>
    <d v="2024-02-05T00:00:00"/>
    <x v="8"/>
    <x v="0"/>
    <x v="1"/>
    <x v="1"/>
    <x v="2"/>
    <x v="2"/>
    <n v="1"/>
    <n v="8.99"/>
    <n v="8.99"/>
    <n v="3"/>
    <x v="0"/>
  </r>
  <r>
    <x v="296"/>
    <d v="2025-01-31T00:00:00"/>
    <x v="9"/>
    <x v="1"/>
    <x v="3"/>
    <x v="2"/>
    <x v="9"/>
    <x v="0"/>
    <n v="3"/>
    <n v="32.99"/>
    <n v="98.97"/>
    <n v="3"/>
    <x v="0"/>
  </r>
  <r>
    <x v="297"/>
    <d v="2024-10-04T00:00:00"/>
    <x v="6"/>
    <x v="0"/>
    <x v="6"/>
    <x v="0"/>
    <x v="9"/>
    <x v="0"/>
    <n v="1"/>
    <n v="32.99"/>
    <n v="32.99"/>
    <n v="5"/>
    <x v="0"/>
  </r>
  <r>
    <x v="298"/>
    <d v="2025-06-29T00:00:00"/>
    <x v="3"/>
    <x v="1"/>
    <x v="5"/>
    <x v="2"/>
    <x v="10"/>
    <x v="0"/>
    <n v="3"/>
    <n v="22.99"/>
    <n v="68.97"/>
    <n v="4"/>
    <x v="0"/>
  </r>
  <r>
    <x v="299"/>
    <d v="2025-12-29T00:00:00"/>
    <x v="7"/>
    <x v="1"/>
    <x v="4"/>
    <x v="2"/>
    <x v="9"/>
    <x v="0"/>
    <n v="1"/>
    <n v="32.99"/>
    <n v="32.99"/>
    <n v="4"/>
    <x v="0"/>
  </r>
  <r>
    <x v="300"/>
    <d v="2024-12-28T00:00:00"/>
    <x v="7"/>
    <x v="0"/>
    <x v="7"/>
    <x v="1"/>
    <x v="10"/>
    <x v="0"/>
    <n v="3"/>
    <n v="22.99"/>
    <n v="68.97"/>
    <n v="5"/>
    <x v="0"/>
  </r>
  <r>
    <x v="301"/>
    <d v="2025-12-15T00:00:00"/>
    <x v="7"/>
    <x v="1"/>
    <x v="6"/>
    <x v="2"/>
    <x v="14"/>
    <x v="2"/>
    <n v="2"/>
    <n v="9.99"/>
    <n v="19.98"/>
    <n v="2"/>
    <x v="1"/>
  </r>
  <r>
    <x v="302"/>
    <d v="2025-12-29T00:00:00"/>
    <x v="7"/>
    <x v="1"/>
    <x v="2"/>
    <x v="0"/>
    <x v="13"/>
    <x v="0"/>
    <n v="2"/>
    <n v="15.99"/>
    <n v="31.98"/>
    <n v="3"/>
    <x v="0"/>
  </r>
  <r>
    <x v="303"/>
    <d v="2025-01-24T00:00:00"/>
    <x v="9"/>
    <x v="1"/>
    <x v="0"/>
    <x v="1"/>
    <x v="6"/>
    <x v="0"/>
    <n v="3"/>
    <n v="24.99"/>
    <n v="74.97"/>
    <n v="4"/>
    <x v="0"/>
  </r>
  <r>
    <x v="304"/>
    <d v="2025-08-08T00:00:00"/>
    <x v="10"/>
    <x v="1"/>
    <x v="2"/>
    <x v="2"/>
    <x v="1"/>
    <x v="1"/>
    <n v="1"/>
    <n v="9.99"/>
    <n v="9.99"/>
    <n v="4"/>
    <x v="0"/>
  </r>
  <r>
    <x v="305"/>
    <d v="2025-06-13T00:00:00"/>
    <x v="3"/>
    <x v="1"/>
    <x v="6"/>
    <x v="0"/>
    <x v="12"/>
    <x v="2"/>
    <n v="4"/>
    <n v="10.99"/>
    <n v="43.96"/>
    <n v="5"/>
    <x v="0"/>
  </r>
  <r>
    <x v="306"/>
    <d v="2025-11-28T00:00:00"/>
    <x v="5"/>
    <x v="1"/>
    <x v="7"/>
    <x v="0"/>
    <x v="0"/>
    <x v="0"/>
    <n v="1"/>
    <n v="18.989999999999998"/>
    <n v="18.989999999999998"/>
    <n v="5"/>
    <x v="0"/>
  </r>
  <r>
    <x v="307"/>
    <d v="2024-11-19T00:00:00"/>
    <x v="5"/>
    <x v="0"/>
    <x v="8"/>
    <x v="2"/>
    <x v="7"/>
    <x v="2"/>
    <n v="1"/>
    <n v="12.99"/>
    <n v="12.99"/>
    <n v="4"/>
    <x v="0"/>
  </r>
  <r>
    <x v="308"/>
    <d v="2024-04-05T00:00:00"/>
    <x v="2"/>
    <x v="0"/>
    <x v="2"/>
    <x v="1"/>
    <x v="20"/>
    <x v="1"/>
    <n v="1"/>
    <n v="5.99"/>
    <n v="5.99"/>
    <n v="4"/>
    <x v="0"/>
  </r>
  <r>
    <x v="309"/>
    <d v="2024-01-11T00:00:00"/>
    <x v="9"/>
    <x v="0"/>
    <x v="7"/>
    <x v="1"/>
    <x v="23"/>
    <x v="3"/>
    <n v="1"/>
    <n v="11.99"/>
    <n v="11.99"/>
    <n v="4"/>
    <x v="0"/>
  </r>
  <r>
    <x v="310"/>
    <d v="2024-11-23T00:00:00"/>
    <x v="5"/>
    <x v="0"/>
    <x v="5"/>
    <x v="2"/>
    <x v="0"/>
    <x v="0"/>
    <n v="2"/>
    <n v="18.989999999999998"/>
    <n v="37.979999999999997"/>
    <n v="4"/>
    <x v="0"/>
  </r>
  <r>
    <x v="311"/>
    <d v="2025-03-21T00:00:00"/>
    <x v="11"/>
    <x v="1"/>
    <x v="3"/>
    <x v="2"/>
    <x v="4"/>
    <x v="1"/>
    <n v="4"/>
    <n v="7.99"/>
    <n v="31.96"/>
    <n v="3"/>
    <x v="0"/>
  </r>
  <r>
    <x v="312"/>
    <d v="2024-03-21T00:00:00"/>
    <x v="11"/>
    <x v="0"/>
    <x v="0"/>
    <x v="1"/>
    <x v="21"/>
    <x v="1"/>
    <n v="2"/>
    <n v="4.99"/>
    <n v="9.98"/>
    <n v="4"/>
    <x v="0"/>
  </r>
  <r>
    <x v="313"/>
    <d v="2024-03-23T00:00:00"/>
    <x v="11"/>
    <x v="0"/>
    <x v="4"/>
    <x v="2"/>
    <x v="22"/>
    <x v="2"/>
    <n v="2"/>
    <n v="14.99"/>
    <n v="29.98"/>
    <n v="4"/>
    <x v="0"/>
  </r>
  <r>
    <x v="314"/>
    <d v="2024-08-25T00:00:00"/>
    <x v="10"/>
    <x v="0"/>
    <x v="6"/>
    <x v="0"/>
    <x v="21"/>
    <x v="1"/>
    <n v="2"/>
    <n v="4.99"/>
    <n v="9.98"/>
    <n v="3"/>
    <x v="0"/>
  </r>
  <r>
    <x v="315"/>
    <d v="2024-04-11T00:00:00"/>
    <x v="2"/>
    <x v="0"/>
    <x v="0"/>
    <x v="0"/>
    <x v="13"/>
    <x v="0"/>
    <n v="3"/>
    <n v="15.99"/>
    <n v="47.97"/>
    <n v="4"/>
    <x v="0"/>
  </r>
  <r>
    <x v="316"/>
    <d v="2025-11-13T00:00:00"/>
    <x v="5"/>
    <x v="1"/>
    <x v="5"/>
    <x v="0"/>
    <x v="9"/>
    <x v="0"/>
    <n v="3"/>
    <n v="32.99"/>
    <n v="98.97"/>
    <n v="2"/>
    <x v="1"/>
  </r>
  <r>
    <x v="317"/>
    <d v="2025-10-02T00:00:00"/>
    <x v="6"/>
    <x v="1"/>
    <x v="9"/>
    <x v="1"/>
    <x v="6"/>
    <x v="0"/>
    <n v="1"/>
    <n v="24.99"/>
    <n v="24.99"/>
    <n v="4"/>
    <x v="0"/>
  </r>
  <r>
    <x v="318"/>
    <d v="2025-04-06T00:00:00"/>
    <x v="2"/>
    <x v="1"/>
    <x v="5"/>
    <x v="2"/>
    <x v="11"/>
    <x v="1"/>
    <n v="4"/>
    <n v="6.99"/>
    <n v="27.96"/>
    <n v="4"/>
    <x v="0"/>
  </r>
  <r>
    <x v="319"/>
    <d v="2025-10-24T00:00:00"/>
    <x v="6"/>
    <x v="1"/>
    <x v="0"/>
    <x v="0"/>
    <x v="2"/>
    <x v="2"/>
    <n v="1"/>
    <n v="8.99"/>
    <n v="8.99"/>
    <n v="4"/>
    <x v="0"/>
  </r>
  <r>
    <x v="320"/>
    <d v="2025-07-13T00:00:00"/>
    <x v="0"/>
    <x v="1"/>
    <x v="5"/>
    <x v="2"/>
    <x v="1"/>
    <x v="1"/>
    <n v="4"/>
    <n v="9.99"/>
    <n v="39.96"/>
    <n v="4"/>
    <x v="0"/>
  </r>
  <r>
    <x v="321"/>
    <d v="2025-03-13T00:00:00"/>
    <x v="11"/>
    <x v="1"/>
    <x v="6"/>
    <x v="2"/>
    <x v="10"/>
    <x v="0"/>
    <n v="2"/>
    <n v="22.99"/>
    <n v="45.98"/>
    <n v="5"/>
    <x v="0"/>
  </r>
  <r>
    <x v="322"/>
    <d v="2025-05-09T00:00:00"/>
    <x v="4"/>
    <x v="1"/>
    <x v="8"/>
    <x v="0"/>
    <x v="17"/>
    <x v="0"/>
    <n v="1"/>
    <n v="14.99"/>
    <n v="14.99"/>
    <n v="3"/>
    <x v="0"/>
  </r>
  <r>
    <x v="323"/>
    <d v="2025-05-11T00:00:00"/>
    <x v="4"/>
    <x v="1"/>
    <x v="5"/>
    <x v="0"/>
    <x v="20"/>
    <x v="1"/>
    <n v="1"/>
    <n v="5.99"/>
    <n v="5.99"/>
    <n v="4"/>
    <x v="0"/>
  </r>
  <r>
    <x v="324"/>
    <d v="2024-09-25T00:00:00"/>
    <x v="1"/>
    <x v="0"/>
    <x v="1"/>
    <x v="1"/>
    <x v="9"/>
    <x v="0"/>
    <n v="2"/>
    <n v="32.99"/>
    <n v="65.98"/>
    <n v="4"/>
    <x v="0"/>
  </r>
  <r>
    <x v="325"/>
    <d v="2024-07-05T00:00:00"/>
    <x v="0"/>
    <x v="0"/>
    <x v="4"/>
    <x v="1"/>
    <x v="19"/>
    <x v="0"/>
    <n v="3"/>
    <n v="17.989999999999998"/>
    <n v="53.97"/>
    <n v="5"/>
    <x v="0"/>
  </r>
  <r>
    <x v="326"/>
    <d v="2025-08-03T00:00:00"/>
    <x v="10"/>
    <x v="1"/>
    <x v="0"/>
    <x v="2"/>
    <x v="12"/>
    <x v="2"/>
    <n v="2"/>
    <n v="10.99"/>
    <n v="21.98"/>
    <n v="3"/>
    <x v="0"/>
  </r>
  <r>
    <x v="327"/>
    <d v="2024-01-10T00:00:00"/>
    <x v="9"/>
    <x v="0"/>
    <x v="1"/>
    <x v="0"/>
    <x v="0"/>
    <x v="0"/>
    <n v="2"/>
    <n v="18.989999999999998"/>
    <n v="37.979999999999997"/>
    <n v="4"/>
    <x v="0"/>
  </r>
  <r>
    <x v="328"/>
    <d v="2025-03-14T00:00:00"/>
    <x v="11"/>
    <x v="1"/>
    <x v="7"/>
    <x v="0"/>
    <x v="13"/>
    <x v="0"/>
    <n v="1"/>
    <n v="15.99"/>
    <n v="15.99"/>
    <n v="3"/>
    <x v="0"/>
  </r>
  <r>
    <x v="329"/>
    <d v="2025-09-02T00:00:00"/>
    <x v="1"/>
    <x v="1"/>
    <x v="9"/>
    <x v="0"/>
    <x v="0"/>
    <x v="0"/>
    <n v="2"/>
    <n v="18.989999999999998"/>
    <n v="37.979999999999997"/>
    <n v="5"/>
    <x v="0"/>
  </r>
  <r>
    <x v="330"/>
    <d v="2025-05-29T00:00:00"/>
    <x v="4"/>
    <x v="1"/>
    <x v="1"/>
    <x v="2"/>
    <x v="18"/>
    <x v="3"/>
    <n v="2"/>
    <n v="10.99"/>
    <n v="21.98"/>
    <n v="4"/>
    <x v="0"/>
  </r>
  <r>
    <x v="331"/>
    <d v="2025-03-21T00:00:00"/>
    <x v="11"/>
    <x v="1"/>
    <x v="3"/>
    <x v="2"/>
    <x v="2"/>
    <x v="2"/>
    <n v="1"/>
    <n v="8.99"/>
    <n v="8.99"/>
    <n v="5"/>
    <x v="0"/>
  </r>
  <r>
    <x v="332"/>
    <d v="2025-10-23T00:00:00"/>
    <x v="6"/>
    <x v="1"/>
    <x v="3"/>
    <x v="2"/>
    <x v="13"/>
    <x v="0"/>
    <n v="1"/>
    <n v="15.99"/>
    <n v="15.99"/>
    <n v="4"/>
    <x v="0"/>
  </r>
  <r>
    <x v="333"/>
    <d v="2024-12-22T00:00:00"/>
    <x v="7"/>
    <x v="0"/>
    <x v="6"/>
    <x v="1"/>
    <x v="24"/>
    <x v="3"/>
    <n v="2"/>
    <n v="9.99"/>
    <n v="19.98"/>
    <n v="5"/>
    <x v="0"/>
  </r>
  <r>
    <x v="334"/>
    <d v="2025-11-25T00:00:00"/>
    <x v="5"/>
    <x v="1"/>
    <x v="8"/>
    <x v="0"/>
    <x v="22"/>
    <x v="2"/>
    <n v="1"/>
    <n v="14.99"/>
    <n v="14.99"/>
    <n v="3"/>
    <x v="0"/>
  </r>
  <r>
    <x v="335"/>
    <d v="2024-05-31T00:00:00"/>
    <x v="4"/>
    <x v="0"/>
    <x v="7"/>
    <x v="1"/>
    <x v="9"/>
    <x v="0"/>
    <n v="3"/>
    <n v="32.99"/>
    <n v="98.97"/>
    <n v="4"/>
    <x v="0"/>
  </r>
  <r>
    <x v="336"/>
    <d v="2025-10-24T00:00:00"/>
    <x v="6"/>
    <x v="1"/>
    <x v="3"/>
    <x v="2"/>
    <x v="5"/>
    <x v="0"/>
    <n v="1"/>
    <n v="16.989999999999998"/>
    <n v="16.989999999999998"/>
    <n v="4"/>
    <x v="0"/>
  </r>
  <r>
    <x v="337"/>
    <d v="2024-12-20T00:00:00"/>
    <x v="7"/>
    <x v="0"/>
    <x v="2"/>
    <x v="2"/>
    <x v="18"/>
    <x v="3"/>
    <n v="4"/>
    <n v="10.99"/>
    <n v="43.96"/>
    <n v="4"/>
    <x v="0"/>
  </r>
  <r>
    <x v="338"/>
    <d v="2024-05-10T00:00:00"/>
    <x v="4"/>
    <x v="0"/>
    <x v="8"/>
    <x v="0"/>
    <x v="19"/>
    <x v="0"/>
    <n v="1"/>
    <n v="17.989999999999998"/>
    <n v="17.989999999999998"/>
    <n v="5"/>
    <x v="0"/>
  </r>
  <r>
    <x v="339"/>
    <d v="2025-04-19T00:00:00"/>
    <x v="2"/>
    <x v="1"/>
    <x v="4"/>
    <x v="0"/>
    <x v="4"/>
    <x v="1"/>
    <n v="2"/>
    <n v="7.99"/>
    <n v="15.98"/>
    <n v="2"/>
    <x v="1"/>
  </r>
  <r>
    <x v="340"/>
    <d v="2024-06-29T00:00:00"/>
    <x v="3"/>
    <x v="0"/>
    <x v="1"/>
    <x v="2"/>
    <x v="21"/>
    <x v="1"/>
    <n v="1"/>
    <n v="4.99"/>
    <n v="4.99"/>
    <n v="3"/>
    <x v="0"/>
  </r>
  <r>
    <x v="341"/>
    <d v="2025-06-20T00:00:00"/>
    <x v="3"/>
    <x v="1"/>
    <x v="2"/>
    <x v="2"/>
    <x v="0"/>
    <x v="0"/>
    <n v="2"/>
    <n v="18.989999999999998"/>
    <n v="37.979999999999997"/>
    <n v="3"/>
    <x v="0"/>
  </r>
  <r>
    <x v="342"/>
    <d v="2025-02-28T00:00:00"/>
    <x v="8"/>
    <x v="1"/>
    <x v="8"/>
    <x v="2"/>
    <x v="6"/>
    <x v="0"/>
    <n v="1"/>
    <n v="24.99"/>
    <n v="24.99"/>
    <n v="3"/>
    <x v="0"/>
  </r>
  <r>
    <x v="343"/>
    <d v="2024-11-22T00:00:00"/>
    <x v="5"/>
    <x v="0"/>
    <x v="2"/>
    <x v="1"/>
    <x v="22"/>
    <x v="2"/>
    <n v="1"/>
    <n v="14.99"/>
    <n v="14.99"/>
    <n v="3"/>
    <x v="0"/>
  </r>
  <r>
    <x v="344"/>
    <d v="2024-04-05T00:00:00"/>
    <x v="2"/>
    <x v="0"/>
    <x v="9"/>
    <x v="0"/>
    <x v="7"/>
    <x v="2"/>
    <n v="1"/>
    <n v="12.99"/>
    <n v="12.99"/>
    <n v="5"/>
    <x v="0"/>
  </r>
  <r>
    <x v="345"/>
    <d v="2024-10-25T00:00:00"/>
    <x v="6"/>
    <x v="0"/>
    <x v="1"/>
    <x v="2"/>
    <x v="2"/>
    <x v="2"/>
    <n v="2"/>
    <n v="8.99"/>
    <n v="17.98"/>
    <n v="4"/>
    <x v="0"/>
  </r>
  <r>
    <x v="346"/>
    <d v="2025-09-06T00:00:00"/>
    <x v="1"/>
    <x v="1"/>
    <x v="3"/>
    <x v="2"/>
    <x v="19"/>
    <x v="0"/>
    <n v="2"/>
    <n v="17.989999999999998"/>
    <n v="35.979999999999997"/>
    <n v="3"/>
    <x v="0"/>
  </r>
  <r>
    <x v="347"/>
    <d v="2024-09-01T00:00:00"/>
    <x v="1"/>
    <x v="0"/>
    <x v="0"/>
    <x v="2"/>
    <x v="4"/>
    <x v="1"/>
    <n v="1"/>
    <n v="7.99"/>
    <n v="7.99"/>
    <n v="3"/>
    <x v="0"/>
  </r>
  <r>
    <x v="348"/>
    <d v="2025-03-12T00:00:00"/>
    <x v="11"/>
    <x v="1"/>
    <x v="3"/>
    <x v="1"/>
    <x v="5"/>
    <x v="0"/>
    <n v="4"/>
    <n v="16.989999999999998"/>
    <n v="67.959999999999994"/>
    <n v="4"/>
    <x v="0"/>
  </r>
  <r>
    <x v="349"/>
    <d v="2025-05-01T00:00:00"/>
    <x v="4"/>
    <x v="1"/>
    <x v="9"/>
    <x v="0"/>
    <x v="8"/>
    <x v="2"/>
    <n v="1"/>
    <n v="11.99"/>
    <n v="11.99"/>
    <n v="3"/>
    <x v="0"/>
  </r>
  <r>
    <x v="350"/>
    <d v="2024-03-20T00:00:00"/>
    <x v="11"/>
    <x v="0"/>
    <x v="3"/>
    <x v="0"/>
    <x v="19"/>
    <x v="0"/>
    <n v="3"/>
    <n v="17.989999999999998"/>
    <n v="53.97"/>
    <n v="4"/>
    <x v="0"/>
  </r>
  <r>
    <x v="351"/>
    <d v="2025-07-18T00:00:00"/>
    <x v="0"/>
    <x v="1"/>
    <x v="6"/>
    <x v="0"/>
    <x v="12"/>
    <x v="2"/>
    <n v="4"/>
    <n v="10.99"/>
    <n v="43.96"/>
    <n v="4"/>
    <x v="0"/>
  </r>
  <r>
    <x v="352"/>
    <d v="2025-11-02T00:00:00"/>
    <x v="5"/>
    <x v="1"/>
    <x v="8"/>
    <x v="2"/>
    <x v="0"/>
    <x v="0"/>
    <n v="2"/>
    <n v="18.989999999999998"/>
    <n v="37.979999999999997"/>
    <n v="5"/>
    <x v="0"/>
  </r>
  <r>
    <x v="353"/>
    <d v="2025-01-21T00:00:00"/>
    <x v="9"/>
    <x v="1"/>
    <x v="5"/>
    <x v="0"/>
    <x v="6"/>
    <x v="0"/>
    <n v="1"/>
    <n v="24.99"/>
    <n v="24.99"/>
    <n v="3"/>
    <x v="0"/>
  </r>
  <r>
    <x v="354"/>
    <d v="2025-07-05T00:00:00"/>
    <x v="0"/>
    <x v="1"/>
    <x v="2"/>
    <x v="0"/>
    <x v="2"/>
    <x v="2"/>
    <n v="2"/>
    <n v="8.99"/>
    <n v="17.98"/>
    <n v="3"/>
    <x v="0"/>
  </r>
  <r>
    <x v="355"/>
    <d v="2025-02-22T00:00:00"/>
    <x v="8"/>
    <x v="1"/>
    <x v="0"/>
    <x v="1"/>
    <x v="10"/>
    <x v="0"/>
    <n v="2"/>
    <n v="22.99"/>
    <n v="45.98"/>
    <n v="5"/>
    <x v="0"/>
  </r>
  <r>
    <x v="356"/>
    <d v="2024-07-05T00:00:00"/>
    <x v="0"/>
    <x v="0"/>
    <x v="1"/>
    <x v="2"/>
    <x v="10"/>
    <x v="0"/>
    <n v="1"/>
    <n v="22.99"/>
    <n v="22.99"/>
    <n v="4"/>
    <x v="0"/>
  </r>
  <r>
    <x v="357"/>
    <d v="2025-05-09T00:00:00"/>
    <x v="4"/>
    <x v="1"/>
    <x v="8"/>
    <x v="1"/>
    <x v="5"/>
    <x v="0"/>
    <n v="2"/>
    <n v="16.989999999999998"/>
    <n v="33.979999999999997"/>
    <n v="4"/>
    <x v="0"/>
  </r>
  <r>
    <x v="358"/>
    <d v="2025-08-16T00:00:00"/>
    <x v="10"/>
    <x v="1"/>
    <x v="0"/>
    <x v="1"/>
    <x v="5"/>
    <x v="0"/>
    <n v="3"/>
    <n v="16.989999999999998"/>
    <n v="50.97"/>
    <n v="2"/>
    <x v="1"/>
  </r>
  <r>
    <x v="359"/>
    <d v="2025-10-19T00:00:00"/>
    <x v="6"/>
    <x v="1"/>
    <x v="6"/>
    <x v="1"/>
    <x v="13"/>
    <x v="0"/>
    <n v="3"/>
    <n v="15.99"/>
    <n v="47.97"/>
    <n v="4"/>
    <x v="0"/>
  </r>
  <r>
    <x v="360"/>
    <d v="2024-01-20T00:00:00"/>
    <x v="9"/>
    <x v="0"/>
    <x v="8"/>
    <x v="2"/>
    <x v="2"/>
    <x v="2"/>
    <n v="4"/>
    <n v="8.99"/>
    <n v="35.96"/>
    <n v="5"/>
    <x v="0"/>
  </r>
  <r>
    <x v="361"/>
    <d v="2024-04-01T00:00:00"/>
    <x v="2"/>
    <x v="0"/>
    <x v="6"/>
    <x v="0"/>
    <x v="19"/>
    <x v="0"/>
    <n v="3"/>
    <n v="17.989999999999998"/>
    <n v="53.97"/>
    <n v="4"/>
    <x v="0"/>
  </r>
  <r>
    <x v="362"/>
    <d v="2025-01-19T00:00:00"/>
    <x v="9"/>
    <x v="1"/>
    <x v="9"/>
    <x v="1"/>
    <x v="19"/>
    <x v="0"/>
    <n v="2"/>
    <n v="17.989999999999998"/>
    <n v="35.979999999999997"/>
    <n v="4"/>
    <x v="0"/>
  </r>
  <r>
    <x v="363"/>
    <d v="2024-10-30T00:00:00"/>
    <x v="6"/>
    <x v="0"/>
    <x v="5"/>
    <x v="2"/>
    <x v="11"/>
    <x v="1"/>
    <n v="3"/>
    <n v="6.99"/>
    <n v="20.97"/>
    <n v="2"/>
    <x v="1"/>
  </r>
  <r>
    <x v="364"/>
    <d v="2025-07-24T00:00:00"/>
    <x v="0"/>
    <x v="1"/>
    <x v="6"/>
    <x v="1"/>
    <x v="19"/>
    <x v="0"/>
    <n v="1"/>
    <n v="17.989999999999998"/>
    <n v="17.989999999999998"/>
    <n v="4"/>
    <x v="0"/>
  </r>
  <r>
    <x v="365"/>
    <d v="2024-08-09T00:00:00"/>
    <x v="10"/>
    <x v="0"/>
    <x v="2"/>
    <x v="2"/>
    <x v="19"/>
    <x v="0"/>
    <n v="1"/>
    <n v="17.989999999999998"/>
    <n v="17.989999999999998"/>
    <n v="5"/>
    <x v="0"/>
  </r>
  <r>
    <x v="366"/>
    <d v="2024-01-25T00:00:00"/>
    <x v="9"/>
    <x v="0"/>
    <x v="1"/>
    <x v="2"/>
    <x v="0"/>
    <x v="0"/>
    <n v="1"/>
    <n v="18.989999999999998"/>
    <n v="18.989999999999998"/>
    <n v="5"/>
    <x v="0"/>
  </r>
  <r>
    <x v="367"/>
    <d v="2025-12-20T00:00:00"/>
    <x v="7"/>
    <x v="1"/>
    <x v="0"/>
    <x v="1"/>
    <x v="19"/>
    <x v="0"/>
    <n v="2"/>
    <n v="17.989999999999998"/>
    <n v="35.979999999999997"/>
    <n v="3"/>
    <x v="0"/>
  </r>
  <r>
    <x v="368"/>
    <d v="2024-10-15T00:00:00"/>
    <x v="6"/>
    <x v="0"/>
    <x v="9"/>
    <x v="1"/>
    <x v="24"/>
    <x v="3"/>
    <n v="3"/>
    <n v="9.99"/>
    <n v="29.97"/>
    <n v="3"/>
    <x v="0"/>
  </r>
  <r>
    <x v="369"/>
    <d v="2025-12-19T00:00:00"/>
    <x v="7"/>
    <x v="1"/>
    <x v="6"/>
    <x v="0"/>
    <x v="3"/>
    <x v="1"/>
    <n v="1"/>
    <n v="3.49"/>
    <n v="3.49"/>
    <n v="5"/>
    <x v="0"/>
  </r>
  <r>
    <x v="370"/>
    <d v="2025-08-30T00:00:00"/>
    <x v="10"/>
    <x v="1"/>
    <x v="4"/>
    <x v="2"/>
    <x v="14"/>
    <x v="2"/>
    <n v="2"/>
    <n v="9.99"/>
    <n v="19.98"/>
    <n v="5"/>
    <x v="0"/>
  </r>
  <r>
    <x v="371"/>
    <d v="2025-02-07T00:00:00"/>
    <x v="8"/>
    <x v="1"/>
    <x v="7"/>
    <x v="0"/>
    <x v="1"/>
    <x v="1"/>
    <n v="4"/>
    <n v="9.99"/>
    <n v="39.96"/>
    <n v="4"/>
    <x v="0"/>
  </r>
  <r>
    <x v="372"/>
    <d v="2025-04-01T00:00:00"/>
    <x v="2"/>
    <x v="1"/>
    <x v="9"/>
    <x v="2"/>
    <x v="2"/>
    <x v="2"/>
    <n v="1"/>
    <n v="8.99"/>
    <n v="8.99"/>
    <n v="3"/>
    <x v="0"/>
  </r>
  <r>
    <x v="373"/>
    <d v="2025-04-04T00:00:00"/>
    <x v="2"/>
    <x v="1"/>
    <x v="5"/>
    <x v="1"/>
    <x v="10"/>
    <x v="0"/>
    <n v="1"/>
    <n v="22.99"/>
    <n v="22.99"/>
    <n v="2"/>
    <x v="1"/>
  </r>
  <r>
    <x v="374"/>
    <d v="2025-10-15T00:00:00"/>
    <x v="6"/>
    <x v="1"/>
    <x v="3"/>
    <x v="2"/>
    <x v="19"/>
    <x v="0"/>
    <n v="2"/>
    <n v="17.989999999999998"/>
    <n v="35.979999999999997"/>
    <n v="4"/>
    <x v="0"/>
  </r>
  <r>
    <x v="375"/>
    <d v="2024-08-03T00:00:00"/>
    <x v="10"/>
    <x v="0"/>
    <x v="4"/>
    <x v="0"/>
    <x v="10"/>
    <x v="0"/>
    <n v="1"/>
    <n v="22.99"/>
    <n v="22.99"/>
    <n v="5"/>
    <x v="0"/>
  </r>
  <r>
    <x v="376"/>
    <d v="2024-03-02T00:00:00"/>
    <x v="11"/>
    <x v="0"/>
    <x v="3"/>
    <x v="1"/>
    <x v="0"/>
    <x v="0"/>
    <n v="1"/>
    <n v="18.989999999999998"/>
    <n v="18.989999999999998"/>
    <n v="5"/>
    <x v="0"/>
  </r>
  <r>
    <x v="377"/>
    <d v="2025-11-18T00:00:00"/>
    <x v="5"/>
    <x v="1"/>
    <x v="4"/>
    <x v="2"/>
    <x v="8"/>
    <x v="2"/>
    <n v="1"/>
    <n v="11.99"/>
    <n v="11.99"/>
    <n v="5"/>
    <x v="0"/>
  </r>
  <r>
    <x v="378"/>
    <d v="2025-12-06T00:00:00"/>
    <x v="7"/>
    <x v="1"/>
    <x v="8"/>
    <x v="0"/>
    <x v="10"/>
    <x v="0"/>
    <n v="2"/>
    <n v="22.99"/>
    <n v="45.98"/>
    <n v="5"/>
    <x v="0"/>
  </r>
  <r>
    <x v="379"/>
    <d v="2024-12-09T00:00:00"/>
    <x v="7"/>
    <x v="0"/>
    <x v="4"/>
    <x v="0"/>
    <x v="3"/>
    <x v="1"/>
    <n v="1"/>
    <n v="3.49"/>
    <n v="3.49"/>
    <n v="4"/>
    <x v="0"/>
  </r>
  <r>
    <x v="380"/>
    <d v="2024-02-17T00:00:00"/>
    <x v="8"/>
    <x v="0"/>
    <x v="1"/>
    <x v="2"/>
    <x v="7"/>
    <x v="2"/>
    <n v="1"/>
    <n v="12.99"/>
    <n v="12.99"/>
    <n v="2"/>
    <x v="1"/>
  </r>
  <r>
    <x v="381"/>
    <d v="2025-03-28T00:00:00"/>
    <x v="11"/>
    <x v="1"/>
    <x v="4"/>
    <x v="2"/>
    <x v="7"/>
    <x v="2"/>
    <n v="1"/>
    <n v="12.99"/>
    <n v="12.99"/>
    <n v="2"/>
    <x v="1"/>
  </r>
  <r>
    <x v="382"/>
    <d v="2024-01-26T00:00:00"/>
    <x v="9"/>
    <x v="0"/>
    <x v="2"/>
    <x v="0"/>
    <x v="15"/>
    <x v="3"/>
    <n v="1"/>
    <n v="7.99"/>
    <n v="7.99"/>
    <n v="5"/>
    <x v="0"/>
  </r>
  <r>
    <x v="383"/>
    <d v="2024-05-24T00:00:00"/>
    <x v="4"/>
    <x v="0"/>
    <x v="8"/>
    <x v="2"/>
    <x v="4"/>
    <x v="1"/>
    <n v="2"/>
    <n v="7.99"/>
    <n v="15.98"/>
    <n v="4"/>
    <x v="0"/>
  </r>
  <r>
    <x v="384"/>
    <d v="2024-12-14T00:00:00"/>
    <x v="7"/>
    <x v="0"/>
    <x v="9"/>
    <x v="2"/>
    <x v="10"/>
    <x v="0"/>
    <n v="2"/>
    <n v="22.99"/>
    <n v="45.98"/>
    <n v="4"/>
    <x v="0"/>
  </r>
  <r>
    <x v="385"/>
    <d v="2025-11-29T00:00:00"/>
    <x v="5"/>
    <x v="1"/>
    <x v="5"/>
    <x v="0"/>
    <x v="20"/>
    <x v="1"/>
    <n v="1"/>
    <n v="5.99"/>
    <n v="5.99"/>
    <n v="5"/>
    <x v="0"/>
  </r>
  <r>
    <x v="386"/>
    <d v="2024-11-14T00:00:00"/>
    <x v="5"/>
    <x v="0"/>
    <x v="0"/>
    <x v="2"/>
    <x v="4"/>
    <x v="1"/>
    <n v="2"/>
    <n v="7.99"/>
    <n v="15.98"/>
    <n v="4"/>
    <x v="0"/>
  </r>
  <r>
    <x v="387"/>
    <d v="2025-05-09T00:00:00"/>
    <x v="4"/>
    <x v="1"/>
    <x v="1"/>
    <x v="2"/>
    <x v="7"/>
    <x v="2"/>
    <n v="1"/>
    <n v="12.99"/>
    <n v="12.99"/>
    <n v="3"/>
    <x v="0"/>
  </r>
  <r>
    <x v="388"/>
    <d v="2024-09-20T00:00:00"/>
    <x v="1"/>
    <x v="0"/>
    <x v="7"/>
    <x v="2"/>
    <x v="19"/>
    <x v="0"/>
    <n v="3"/>
    <n v="17.989999999999998"/>
    <n v="53.97"/>
    <n v="5"/>
    <x v="0"/>
  </r>
  <r>
    <x v="389"/>
    <d v="2025-09-22T00:00:00"/>
    <x v="1"/>
    <x v="1"/>
    <x v="8"/>
    <x v="2"/>
    <x v="6"/>
    <x v="0"/>
    <n v="2"/>
    <n v="24.99"/>
    <n v="49.98"/>
    <n v="3"/>
    <x v="0"/>
  </r>
  <r>
    <x v="390"/>
    <d v="2025-09-03T00:00:00"/>
    <x v="1"/>
    <x v="1"/>
    <x v="9"/>
    <x v="1"/>
    <x v="24"/>
    <x v="3"/>
    <n v="1"/>
    <n v="9.99"/>
    <n v="9.99"/>
    <n v="3"/>
    <x v="0"/>
  </r>
  <r>
    <x v="391"/>
    <d v="2025-03-26T00:00:00"/>
    <x v="11"/>
    <x v="1"/>
    <x v="5"/>
    <x v="0"/>
    <x v="16"/>
    <x v="3"/>
    <n v="2"/>
    <n v="8.99"/>
    <n v="17.98"/>
    <n v="5"/>
    <x v="0"/>
  </r>
  <r>
    <x v="392"/>
    <d v="2025-08-30T00:00:00"/>
    <x v="10"/>
    <x v="1"/>
    <x v="2"/>
    <x v="2"/>
    <x v="15"/>
    <x v="3"/>
    <n v="1"/>
    <n v="7.99"/>
    <n v="7.99"/>
    <n v="3"/>
    <x v="0"/>
  </r>
  <r>
    <x v="393"/>
    <d v="2025-04-06T00:00:00"/>
    <x v="2"/>
    <x v="1"/>
    <x v="3"/>
    <x v="0"/>
    <x v="11"/>
    <x v="1"/>
    <n v="3"/>
    <n v="6.99"/>
    <n v="20.97"/>
    <n v="4"/>
    <x v="0"/>
  </r>
  <r>
    <x v="394"/>
    <d v="2024-09-15T00:00:00"/>
    <x v="1"/>
    <x v="0"/>
    <x v="6"/>
    <x v="1"/>
    <x v="23"/>
    <x v="3"/>
    <n v="1"/>
    <n v="11.99"/>
    <n v="11.99"/>
    <n v="4"/>
    <x v="0"/>
  </r>
  <r>
    <x v="395"/>
    <d v="2025-08-15T00:00:00"/>
    <x v="10"/>
    <x v="1"/>
    <x v="7"/>
    <x v="1"/>
    <x v="5"/>
    <x v="0"/>
    <n v="3"/>
    <n v="16.989999999999998"/>
    <n v="50.97"/>
    <n v="4"/>
    <x v="0"/>
  </r>
  <r>
    <x v="396"/>
    <d v="2025-11-02T00:00:00"/>
    <x v="5"/>
    <x v="1"/>
    <x v="4"/>
    <x v="2"/>
    <x v="2"/>
    <x v="2"/>
    <n v="1"/>
    <n v="8.99"/>
    <n v="8.99"/>
    <n v="4"/>
    <x v="0"/>
  </r>
  <r>
    <x v="397"/>
    <d v="2024-10-22T00:00:00"/>
    <x v="6"/>
    <x v="0"/>
    <x v="6"/>
    <x v="2"/>
    <x v="14"/>
    <x v="2"/>
    <n v="1"/>
    <n v="9.99"/>
    <n v="9.99"/>
    <n v="3"/>
    <x v="0"/>
  </r>
  <r>
    <x v="398"/>
    <d v="2024-07-22T00:00:00"/>
    <x v="0"/>
    <x v="0"/>
    <x v="5"/>
    <x v="1"/>
    <x v="2"/>
    <x v="2"/>
    <n v="1"/>
    <n v="8.99"/>
    <n v="8.99"/>
    <n v="3"/>
    <x v="0"/>
  </r>
  <r>
    <x v="399"/>
    <d v="2025-10-22T00:00:00"/>
    <x v="6"/>
    <x v="1"/>
    <x v="8"/>
    <x v="1"/>
    <x v="2"/>
    <x v="2"/>
    <n v="1"/>
    <n v="8.99"/>
    <n v="8.99"/>
    <n v="5"/>
    <x v="0"/>
  </r>
  <r>
    <x v="400"/>
    <d v="2024-03-11T00:00:00"/>
    <x v="11"/>
    <x v="0"/>
    <x v="4"/>
    <x v="1"/>
    <x v="12"/>
    <x v="2"/>
    <n v="2"/>
    <n v="10.99"/>
    <n v="21.98"/>
    <n v="4"/>
    <x v="0"/>
  </r>
  <r>
    <x v="401"/>
    <d v="2024-03-04T00:00:00"/>
    <x v="11"/>
    <x v="0"/>
    <x v="6"/>
    <x v="2"/>
    <x v="5"/>
    <x v="0"/>
    <n v="1"/>
    <n v="16.989999999999998"/>
    <n v="16.989999999999998"/>
    <n v="4"/>
    <x v="0"/>
  </r>
  <r>
    <x v="402"/>
    <d v="2024-02-25T00:00:00"/>
    <x v="8"/>
    <x v="0"/>
    <x v="7"/>
    <x v="1"/>
    <x v="9"/>
    <x v="0"/>
    <n v="2"/>
    <n v="32.99"/>
    <n v="65.98"/>
    <n v="4"/>
    <x v="0"/>
  </r>
  <r>
    <x v="403"/>
    <d v="2024-10-13T00:00:00"/>
    <x v="6"/>
    <x v="0"/>
    <x v="5"/>
    <x v="2"/>
    <x v="8"/>
    <x v="2"/>
    <n v="3"/>
    <n v="11.99"/>
    <n v="35.97"/>
    <n v="5"/>
    <x v="0"/>
  </r>
  <r>
    <x v="404"/>
    <d v="2025-10-12T00:00:00"/>
    <x v="6"/>
    <x v="1"/>
    <x v="8"/>
    <x v="2"/>
    <x v="3"/>
    <x v="1"/>
    <n v="2"/>
    <n v="3.49"/>
    <n v="6.98"/>
    <n v="5"/>
    <x v="0"/>
  </r>
  <r>
    <x v="405"/>
    <d v="2024-05-25T00:00:00"/>
    <x v="4"/>
    <x v="0"/>
    <x v="0"/>
    <x v="0"/>
    <x v="23"/>
    <x v="3"/>
    <n v="1"/>
    <n v="11.99"/>
    <n v="11.99"/>
    <n v="4"/>
    <x v="0"/>
  </r>
  <r>
    <x v="406"/>
    <d v="2024-09-29T00:00:00"/>
    <x v="1"/>
    <x v="0"/>
    <x v="9"/>
    <x v="2"/>
    <x v="3"/>
    <x v="1"/>
    <n v="1"/>
    <n v="3.49"/>
    <n v="3.49"/>
    <n v="4"/>
    <x v="0"/>
  </r>
  <r>
    <x v="407"/>
    <d v="2024-07-06T00:00:00"/>
    <x v="0"/>
    <x v="0"/>
    <x v="6"/>
    <x v="0"/>
    <x v="9"/>
    <x v="0"/>
    <n v="2"/>
    <n v="32.99"/>
    <n v="65.98"/>
    <n v="5"/>
    <x v="0"/>
  </r>
  <r>
    <x v="408"/>
    <d v="2025-08-23T00:00:00"/>
    <x v="10"/>
    <x v="1"/>
    <x v="5"/>
    <x v="2"/>
    <x v="7"/>
    <x v="2"/>
    <n v="3"/>
    <n v="12.99"/>
    <n v="38.97"/>
    <n v="5"/>
    <x v="0"/>
  </r>
  <r>
    <x v="409"/>
    <d v="2025-04-04T00:00:00"/>
    <x v="2"/>
    <x v="1"/>
    <x v="9"/>
    <x v="1"/>
    <x v="5"/>
    <x v="0"/>
    <n v="1"/>
    <n v="16.989999999999998"/>
    <n v="16.989999999999998"/>
    <n v="4"/>
    <x v="0"/>
  </r>
  <r>
    <x v="410"/>
    <d v="2024-11-16T00:00:00"/>
    <x v="5"/>
    <x v="0"/>
    <x v="5"/>
    <x v="2"/>
    <x v="12"/>
    <x v="2"/>
    <n v="1"/>
    <n v="10.99"/>
    <n v="10.99"/>
    <n v="4"/>
    <x v="0"/>
  </r>
  <r>
    <x v="411"/>
    <d v="2025-02-28T00:00:00"/>
    <x v="8"/>
    <x v="1"/>
    <x v="8"/>
    <x v="1"/>
    <x v="13"/>
    <x v="0"/>
    <n v="2"/>
    <n v="15.99"/>
    <n v="31.98"/>
    <n v="4"/>
    <x v="0"/>
  </r>
  <r>
    <x v="412"/>
    <d v="2024-07-15T00:00:00"/>
    <x v="0"/>
    <x v="0"/>
    <x v="6"/>
    <x v="1"/>
    <x v="10"/>
    <x v="0"/>
    <n v="1"/>
    <n v="22.99"/>
    <n v="22.99"/>
    <n v="2"/>
    <x v="1"/>
  </r>
  <r>
    <x v="413"/>
    <d v="2025-04-29T00:00:00"/>
    <x v="2"/>
    <x v="1"/>
    <x v="0"/>
    <x v="2"/>
    <x v="10"/>
    <x v="0"/>
    <n v="1"/>
    <n v="22.99"/>
    <n v="22.99"/>
    <n v="4"/>
    <x v="0"/>
  </r>
  <r>
    <x v="414"/>
    <d v="2025-08-08T00:00:00"/>
    <x v="10"/>
    <x v="1"/>
    <x v="3"/>
    <x v="0"/>
    <x v="2"/>
    <x v="2"/>
    <n v="1"/>
    <n v="8.99"/>
    <n v="8.99"/>
    <n v="5"/>
    <x v="0"/>
  </r>
  <r>
    <x v="415"/>
    <d v="2024-10-24T00:00:00"/>
    <x v="6"/>
    <x v="0"/>
    <x v="0"/>
    <x v="0"/>
    <x v="17"/>
    <x v="0"/>
    <n v="4"/>
    <n v="14.99"/>
    <n v="59.96"/>
    <n v="5"/>
    <x v="0"/>
  </r>
  <r>
    <x v="416"/>
    <d v="2024-07-26T00:00:00"/>
    <x v="0"/>
    <x v="0"/>
    <x v="7"/>
    <x v="2"/>
    <x v="13"/>
    <x v="0"/>
    <n v="2"/>
    <n v="15.99"/>
    <n v="31.98"/>
    <n v="5"/>
    <x v="0"/>
  </r>
  <r>
    <x v="417"/>
    <d v="2025-06-16T00:00:00"/>
    <x v="3"/>
    <x v="1"/>
    <x v="0"/>
    <x v="2"/>
    <x v="15"/>
    <x v="3"/>
    <n v="1"/>
    <n v="7.99"/>
    <n v="7.99"/>
    <n v="4"/>
    <x v="0"/>
  </r>
  <r>
    <x v="418"/>
    <d v="2024-08-28T00:00:00"/>
    <x v="10"/>
    <x v="0"/>
    <x v="3"/>
    <x v="0"/>
    <x v="21"/>
    <x v="1"/>
    <n v="1"/>
    <n v="4.99"/>
    <n v="4.99"/>
    <n v="1"/>
    <x v="1"/>
  </r>
  <r>
    <x v="419"/>
    <d v="2024-11-15T00:00:00"/>
    <x v="5"/>
    <x v="0"/>
    <x v="8"/>
    <x v="2"/>
    <x v="9"/>
    <x v="0"/>
    <n v="1"/>
    <n v="32.99"/>
    <n v="32.99"/>
    <n v="4"/>
    <x v="0"/>
  </r>
  <r>
    <x v="420"/>
    <d v="2024-11-16T00:00:00"/>
    <x v="5"/>
    <x v="0"/>
    <x v="2"/>
    <x v="1"/>
    <x v="19"/>
    <x v="0"/>
    <n v="2"/>
    <n v="17.989999999999998"/>
    <n v="35.979999999999997"/>
    <n v="5"/>
    <x v="0"/>
  </r>
  <r>
    <x v="421"/>
    <d v="2024-06-02T00:00:00"/>
    <x v="3"/>
    <x v="0"/>
    <x v="9"/>
    <x v="1"/>
    <x v="20"/>
    <x v="1"/>
    <n v="2"/>
    <n v="5.99"/>
    <n v="11.98"/>
    <n v="3"/>
    <x v="0"/>
  </r>
  <r>
    <x v="422"/>
    <d v="2024-05-06T00:00:00"/>
    <x v="4"/>
    <x v="0"/>
    <x v="5"/>
    <x v="2"/>
    <x v="6"/>
    <x v="0"/>
    <n v="3"/>
    <n v="24.99"/>
    <n v="74.97"/>
    <n v="5"/>
    <x v="0"/>
  </r>
  <r>
    <x v="423"/>
    <d v="2024-10-03T00:00:00"/>
    <x v="6"/>
    <x v="0"/>
    <x v="9"/>
    <x v="0"/>
    <x v="0"/>
    <x v="0"/>
    <n v="1"/>
    <n v="18.989999999999998"/>
    <n v="18.989999999999998"/>
    <n v="2"/>
    <x v="1"/>
  </r>
  <r>
    <x v="424"/>
    <d v="2025-08-15T00:00:00"/>
    <x v="10"/>
    <x v="1"/>
    <x v="0"/>
    <x v="2"/>
    <x v="4"/>
    <x v="1"/>
    <n v="1"/>
    <n v="7.99"/>
    <n v="7.99"/>
    <n v="1"/>
    <x v="1"/>
  </r>
  <r>
    <x v="425"/>
    <d v="2025-06-15T00:00:00"/>
    <x v="3"/>
    <x v="1"/>
    <x v="9"/>
    <x v="0"/>
    <x v="23"/>
    <x v="3"/>
    <n v="3"/>
    <n v="11.99"/>
    <n v="35.97"/>
    <n v="4"/>
    <x v="0"/>
  </r>
  <r>
    <x v="426"/>
    <d v="2025-08-17T00:00:00"/>
    <x v="10"/>
    <x v="1"/>
    <x v="9"/>
    <x v="1"/>
    <x v="0"/>
    <x v="0"/>
    <n v="2"/>
    <n v="18.989999999999998"/>
    <n v="37.979999999999997"/>
    <n v="4"/>
    <x v="0"/>
  </r>
  <r>
    <x v="427"/>
    <d v="2024-03-12T00:00:00"/>
    <x v="11"/>
    <x v="0"/>
    <x v="3"/>
    <x v="2"/>
    <x v="17"/>
    <x v="0"/>
    <n v="1"/>
    <n v="14.99"/>
    <n v="14.99"/>
    <n v="5"/>
    <x v="0"/>
  </r>
  <r>
    <x v="428"/>
    <d v="2025-09-06T00:00:00"/>
    <x v="1"/>
    <x v="1"/>
    <x v="4"/>
    <x v="1"/>
    <x v="3"/>
    <x v="1"/>
    <n v="2"/>
    <n v="3.49"/>
    <n v="6.98"/>
    <n v="4"/>
    <x v="0"/>
  </r>
  <r>
    <x v="429"/>
    <d v="2025-06-28T00:00:00"/>
    <x v="3"/>
    <x v="1"/>
    <x v="4"/>
    <x v="0"/>
    <x v="19"/>
    <x v="0"/>
    <n v="3"/>
    <n v="17.989999999999998"/>
    <n v="53.97"/>
    <n v="5"/>
    <x v="0"/>
  </r>
  <r>
    <x v="430"/>
    <d v="2024-10-26T00:00:00"/>
    <x v="6"/>
    <x v="0"/>
    <x v="0"/>
    <x v="2"/>
    <x v="11"/>
    <x v="1"/>
    <n v="1"/>
    <n v="6.99"/>
    <n v="6.99"/>
    <n v="3"/>
    <x v="0"/>
  </r>
  <r>
    <x v="431"/>
    <d v="2025-11-08T00:00:00"/>
    <x v="5"/>
    <x v="1"/>
    <x v="8"/>
    <x v="2"/>
    <x v="17"/>
    <x v="0"/>
    <n v="1"/>
    <n v="14.99"/>
    <n v="14.99"/>
    <n v="4"/>
    <x v="0"/>
  </r>
  <r>
    <x v="432"/>
    <d v="2025-05-12T00:00:00"/>
    <x v="4"/>
    <x v="1"/>
    <x v="2"/>
    <x v="1"/>
    <x v="1"/>
    <x v="1"/>
    <n v="1"/>
    <n v="9.99"/>
    <n v="9.99"/>
    <n v="5"/>
    <x v="0"/>
  </r>
  <r>
    <x v="433"/>
    <d v="2024-01-28T00:00:00"/>
    <x v="9"/>
    <x v="0"/>
    <x v="6"/>
    <x v="1"/>
    <x v="18"/>
    <x v="3"/>
    <n v="1"/>
    <n v="10.99"/>
    <n v="10.99"/>
    <n v="3"/>
    <x v="0"/>
  </r>
  <r>
    <x v="434"/>
    <d v="2025-05-24T00:00:00"/>
    <x v="4"/>
    <x v="1"/>
    <x v="9"/>
    <x v="2"/>
    <x v="10"/>
    <x v="0"/>
    <n v="1"/>
    <n v="22.99"/>
    <n v="22.99"/>
    <n v="4"/>
    <x v="0"/>
  </r>
  <r>
    <x v="435"/>
    <d v="2024-10-20T00:00:00"/>
    <x v="6"/>
    <x v="0"/>
    <x v="4"/>
    <x v="2"/>
    <x v="9"/>
    <x v="0"/>
    <n v="1"/>
    <n v="32.99"/>
    <n v="32.99"/>
    <n v="4"/>
    <x v="0"/>
  </r>
  <r>
    <x v="436"/>
    <d v="2025-01-09T00:00:00"/>
    <x v="9"/>
    <x v="1"/>
    <x v="0"/>
    <x v="2"/>
    <x v="9"/>
    <x v="0"/>
    <n v="4"/>
    <n v="32.99"/>
    <n v="131.96"/>
    <n v="3"/>
    <x v="0"/>
  </r>
  <r>
    <x v="437"/>
    <d v="2025-10-04T00:00:00"/>
    <x v="6"/>
    <x v="1"/>
    <x v="9"/>
    <x v="2"/>
    <x v="0"/>
    <x v="0"/>
    <n v="1"/>
    <n v="18.989999999999998"/>
    <n v="18.989999999999998"/>
    <n v="3"/>
    <x v="0"/>
  </r>
  <r>
    <x v="438"/>
    <d v="2025-09-03T00:00:00"/>
    <x v="1"/>
    <x v="1"/>
    <x v="6"/>
    <x v="2"/>
    <x v="5"/>
    <x v="0"/>
    <n v="2"/>
    <n v="16.989999999999998"/>
    <n v="33.979999999999997"/>
    <n v="5"/>
    <x v="0"/>
  </r>
  <r>
    <x v="439"/>
    <d v="2024-08-29T00:00:00"/>
    <x v="10"/>
    <x v="0"/>
    <x v="7"/>
    <x v="0"/>
    <x v="24"/>
    <x v="3"/>
    <n v="1"/>
    <n v="9.99"/>
    <n v="9.99"/>
    <n v="4"/>
    <x v="0"/>
  </r>
  <r>
    <x v="440"/>
    <d v="2024-10-25T00:00:00"/>
    <x v="6"/>
    <x v="0"/>
    <x v="2"/>
    <x v="2"/>
    <x v="21"/>
    <x v="1"/>
    <n v="1"/>
    <n v="4.99"/>
    <n v="4.99"/>
    <n v="2"/>
    <x v="1"/>
  </r>
  <r>
    <x v="441"/>
    <d v="2025-11-13T00:00:00"/>
    <x v="5"/>
    <x v="1"/>
    <x v="7"/>
    <x v="0"/>
    <x v="9"/>
    <x v="0"/>
    <n v="2"/>
    <n v="32.99"/>
    <n v="65.98"/>
    <n v="3"/>
    <x v="0"/>
  </r>
  <r>
    <x v="442"/>
    <d v="2024-04-12T00:00:00"/>
    <x v="2"/>
    <x v="0"/>
    <x v="1"/>
    <x v="2"/>
    <x v="6"/>
    <x v="0"/>
    <n v="1"/>
    <n v="24.99"/>
    <n v="24.99"/>
    <n v="5"/>
    <x v="0"/>
  </r>
  <r>
    <x v="443"/>
    <d v="2024-02-09T00:00:00"/>
    <x v="8"/>
    <x v="0"/>
    <x v="9"/>
    <x v="2"/>
    <x v="16"/>
    <x v="3"/>
    <n v="2"/>
    <n v="8.99"/>
    <n v="17.98"/>
    <n v="5"/>
    <x v="0"/>
  </r>
  <r>
    <x v="444"/>
    <d v="2024-04-05T00:00:00"/>
    <x v="2"/>
    <x v="0"/>
    <x v="7"/>
    <x v="2"/>
    <x v="10"/>
    <x v="0"/>
    <n v="1"/>
    <n v="22.99"/>
    <n v="22.99"/>
    <n v="3"/>
    <x v="0"/>
  </r>
  <r>
    <x v="445"/>
    <d v="2024-03-08T00:00:00"/>
    <x v="11"/>
    <x v="0"/>
    <x v="7"/>
    <x v="1"/>
    <x v="0"/>
    <x v="0"/>
    <n v="3"/>
    <n v="18.989999999999998"/>
    <n v="56.97"/>
    <n v="5"/>
    <x v="0"/>
  </r>
  <r>
    <x v="446"/>
    <d v="2024-04-16T00:00:00"/>
    <x v="2"/>
    <x v="0"/>
    <x v="5"/>
    <x v="2"/>
    <x v="5"/>
    <x v="0"/>
    <n v="2"/>
    <n v="16.989999999999998"/>
    <n v="33.979999999999997"/>
    <n v="5"/>
    <x v="0"/>
  </r>
  <r>
    <x v="447"/>
    <d v="2025-01-25T00:00:00"/>
    <x v="9"/>
    <x v="1"/>
    <x v="0"/>
    <x v="2"/>
    <x v="17"/>
    <x v="0"/>
    <n v="1"/>
    <n v="14.99"/>
    <n v="14.99"/>
    <n v="2"/>
    <x v="1"/>
  </r>
  <r>
    <x v="448"/>
    <d v="2025-05-12T00:00:00"/>
    <x v="4"/>
    <x v="1"/>
    <x v="0"/>
    <x v="2"/>
    <x v="9"/>
    <x v="0"/>
    <n v="2"/>
    <n v="32.99"/>
    <n v="65.98"/>
    <n v="5"/>
    <x v="0"/>
  </r>
  <r>
    <x v="449"/>
    <d v="2025-08-22T00:00:00"/>
    <x v="10"/>
    <x v="1"/>
    <x v="9"/>
    <x v="2"/>
    <x v="10"/>
    <x v="0"/>
    <n v="4"/>
    <n v="22.99"/>
    <n v="91.96"/>
    <n v="4"/>
    <x v="0"/>
  </r>
  <r>
    <x v="450"/>
    <d v="2025-03-02T00:00:00"/>
    <x v="11"/>
    <x v="1"/>
    <x v="0"/>
    <x v="2"/>
    <x v="19"/>
    <x v="0"/>
    <n v="2"/>
    <n v="17.989999999999998"/>
    <n v="35.979999999999997"/>
    <n v="1"/>
    <x v="1"/>
  </r>
  <r>
    <x v="451"/>
    <d v="2024-05-20T00:00:00"/>
    <x v="4"/>
    <x v="0"/>
    <x v="0"/>
    <x v="0"/>
    <x v="23"/>
    <x v="3"/>
    <n v="1"/>
    <n v="11.99"/>
    <n v="11.99"/>
    <n v="5"/>
    <x v="0"/>
  </r>
  <r>
    <x v="452"/>
    <d v="2024-03-16T00:00:00"/>
    <x v="11"/>
    <x v="0"/>
    <x v="9"/>
    <x v="0"/>
    <x v="6"/>
    <x v="0"/>
    <n v="1"/>
    <n v="24.99"/>
    <n v="24.99"/>
    <n v="1"/>
    <x v="1"/>
  </r>
  <r>
    <x v="453"/>
    <d v="2024-02-06T00:00:00"/>
    <x v="8"/>
    <x v="0"/>
    <x v="2"/>
    <x v="2"/>
    <x v="5"/>
    <x v="0"/>
    <n v="2"/>
    <n v="16.989999999999998"/>
    <n v="33.979999999999997"/>
    <n v="2"/>
    <x v="1"/>
  </r>
  <r>
    <x v="454"/>
    <d v="2024-01-14T00:00:00"/>
    <x v="9"/>
    <x v="0"/>
    <x v="6"/>
    <x v="2"/>
    <x v="9"/>
    <x v="0"/>
    <n v="1"/>
    <n v="32.99"/>
    <n v="32.99"/>
    <n v="5"/>
    <x v="0"/>
  </r>
  <r>
    <x v="455"/>
    <d v="2025-09-30T00:00:00"/>
    <x v="1"/>
    <x v="1"/>
    <x v="9"/>
    <x v="0"/>
    <x v="21"/>
    <x v="1"/>
    <n v="3"/>
    <n v="4.99"/>
    <n v="14.97"/>
    <n v="5"/>
    <x v="0"/>
  </r>
  <r>
    <x v="456"/>
    <d v="2024-01-23T00:00:00"/>
    <x v="9"/>
    <x v="0"/>
    <x v="8"/>
    <x v="2"/>
    <x v="14"/>
    <x v="2"/>
    <n v="2"/>
    <n v="9.99"/>
    <n v="19.98"/>
    <n v="4"/>
    <x v="0"/>
  </r>
  <r>
    <x v="457"/>
    <d v="2024-03-24T00:00:00"/>
    <x v="11"/>
    <x v="0"/>
    <x v="1"/>
    <x v="0"/>
    <x v="14"/>
    <x v="2"/>
    <n v="2"/>
    <n v="9.99"/>
    <n v="19.98"/>
    <n v="2"/>
    <x v="1"/>
  </r>
  <r>
    <x v="458"/>
    <d v="2024-10-19T00:00:00"/>
    <x v="6"/>
    <x v="0"/>
    <x v="9"/>
    <x v="0"/>
    <x v="3"/>
    <x v="1"/>
    <n v="1"/>
    <n v="3.49"/>
    <n v="3.49"/>
    <n v="4"/>
    <x v="0"/>
  </r>
  <r>
    <x v="459"/>
    <d v="2024-10-24T00:00:00"/>
    <x v="6"/>
    <x v="0"/>
    <x v="8"/>
    <x v="0"/>
    <x v="5"/>
    <x v="0"/>
    <n v="1"/>
    <n v="16.989999999999998"/>
    <n v="16.989999999999998"/>
    <n v="5"/>
    <x v="0"/>
  </r>
  <r>
    <x v="460"/>
    <d v="2025-05-30T00:00:00"/>
    <x v="4"/>
    <x v="1"/>
    <x v="1"/>
    <x v="0"/>
    <x v="11"/>
    <x v="1"/>
    <n v="1"/>
    <n v="6.99"/>
    <n v="6.99"/>
    <n v="5"/>
    <x v="0"/>
  </r>
  <r>
    <x v="461"/>
    <d v="2025-10-12T00:00:00"/>
    <x v="6"/>
    <x v="1"/>
    <x v="3"/>
    <x v="1"/>
    <x v="10"/>
    <x v="0"/>
    <n v="1"/>
    <n v="22.99"/>
    <n v="22.99"/>
    <n v="4"/>
    <x v="0"/>
  </r>
  <r>
    <x v="462"/>
    <d v="2025-01-26T00:00:00"/>
    <x v="9"/>
    <x v="1"/>
    <x v="1"/>
    <x v="2"/>
    <x v="2"/>
    <x v="2"/>
    <n v="1"/>
    <n v="8.99"/>
    <n v="8.99"/>
    <n v="4"/>
    <x v="0"/>
  </r>
  <r>
    <x v="463"/>
    <d v="2024-01-09T00:00:00"/>
    <x v="9"/>
    <x v="0"/>
    <x v="0"/>
    <x v="2"/>
    <x v="24"/>
    <x v="3"/>
    <n v="2"/>
    <n v="9.99"/>
    <n v="19.98"/>
    <n v="3"/>
    <x v="0"/>
  </r>
  <r>
    <x v="464"/>
    <d v="2025-09-05T00:00:00"/>
    <x v="1"/>
    <x v="1"/>
    <x v="3"/>
    <x v="1"/>
    <x v="21"/>
    <x v="1"/>
    <n v="2"/>
    <n v="4.99"/>
    <n v="9.98"/>
    <n v="4"/>
    <x v="0"/>
  </r>
  <r>
    <x v="465"/>
    <d v="2025-04-08T00:00:00"/>
    <x v="2"/>
    <x v="1"/>
    <x v="8"/>
    <x v="1"/>
    <x v="7"/>
    <x v="2"/>
    <n v="3"/>
    <n v="12.99"/>
    <n v="38.97"/>
    <n v="5"/>
    <x v="0"/>
  </r>
  <r>
    <x v="466"/>
    <d v="2025-04-19T00:00:00"/>
    <x v="2"/>
    <x v="1"/>
    <x v="2"/>
    <x v="2"/>
    <x v="12"/>
    <x v="2"/>
    <n v="3"/>
    <n v="10.99"/>
    <n v="32.97"/>
    <n v="3"/>
    <x v="0"/>
  </r>
  <r>
    <x v="467"/>
    <d v="2025-05-30T00:00:00"/>
    <x v="4"/>
    <x v="1"/>
    <x v="8"/>
    <x v="2"/>
    <x v="3"/>
    <x v="1"/>
    <n v="2"/>
    <n v="3.49"/>
    <n v="6.98"/>
    <n v="5"/>
    <x v="0"/>
  </r>
  <r>
    <x v="468"/>
    <d v="2025-08-05T00:00:00"/>
    <x v="10"/>
    <x v="1"/>
    <x v="5"/>
    <x v="0"/>
    <x v="6"/>
    <x v="0"/>
    <n v="2"/>
    <n v="24.99"/>
    <n v="49.98"/>
    <n v="5"/>
    <x v="0"/>
  </r>
  <r>
    <x v="469"/>
    <d v="2024-06-11T00:00:00"/>
    <x v="3"/>
    <x v="0"/>
    <x v="1"/>
    <x v="2"/>
    <x v="6"/>
    <x v="0"/>
    <n v="1"/>
    <n v="24.99"/>
    <n v="24.99"/>
    <n v="4"/>
    <x v="0"/>
  </r>
  <r>
    <x v="470"/>
    <d v="2025-05-31T00:00:00"/>
    <x v="4"/>
    <x v="1"/>
    <x v="4"/>
    <x v="2"/>
    <x v="6"/>
    <x v="0"/>
    <n v="1"/>
    <n v="24.99"/>
    <n v="24.99"/>
    <n v="5"/>
    <x v="0"/>
  </r>
  <r>
    <x v="471"/>
    <d v="2025-10-15T00:00:00"/>
    <x v="6"/>
    <x v="1"/>
    <x v="0"/>
    <x v="0"/>
    <x v="5"/>
    <x v="0"/>
    <n v="3"/>
    <n v="16.989999999999998"/>
    <n v="50.97"/>
    <n v="4"/>
    <x v="0"/>
  </r>
  <r>
    <x v="472"/>
    <d v="2024-01-21T00:00:00"/>
    <x v="9"/>
    <x v="0"/>
    <x v="7"/>
    <x v="2"/>
    <x v="18"/>
    <x v="3"/>
    <n v="2"/>
    <n v="10.99"/>
    <n v="21.98"/>
    <n v="3"/>
    <x v="0"/>
  </r>
  <r>
    <x v="473"/>
    <d v="2024-01-06T00:00:00"/>
    <x v="9"/>
    <x v="0"/>
    <x v="3"/>
    <x v="1"/>
    <x v="19"/>
    <x v="0"/>
    <n v="2"/>
    <n v="17.989999999999998"/>
    <n v="35.979999999999997"/>
    <n v="5"/>
    <x v="0"/>
  </r>
  <r>
    <x v="474"/>
    <d v="2024-07-20T00:00:00"/>
    <x v="0"/>
    <x v="0"/>
    <x v="0"/>
    <x v="1"/>
    <x v="5"/>
    <x v="0"/>
    <n v="1"/>
    <n v="16.989999999999998"/>
    <n v="16.989999999999998"/>
    <n v="4"/>
    <x v="0"/>
  </r>
  <r>
    <x v="475"/>
    <d v="2024-01-02T00:00:00"/>
    <x v="9"/>
    <x v="0"/>
    <x v="0"/>
    <x v="1"/>
    <x v="10"/>
    <x v="0"/>
    <n v="2"/>
    <n v="22.99"/>
    <n v="45.98"/>
    <n v="4"/>
    <x v="0"/>
  </r>
  <r>
    <x v="476"/>
    <d v="2024-06-22T00:00:00"/>
    <x v="3"/>
    <x v="0"/>
    <x v="4"/>
    <x v="2"/>
    <x v="4"/>
    <x v="1"/>
    <n v="2"/>
    <n v="7.99"/>
    <n v="15.98"/>
    <n v="3"/>
    <x v="0"/>
  </r>
  <r>
    <x v="477"/>
    <d v="2024-12-10T00:00:00"/>
    <x v="7"/>
    <x v="0"/>
    <x v="5"/>
    <x v="1"/>
    <x v="0"/>
    <x v="0"/>
    <n v="1"/>
    <n v="18.989999999999998"/>
    <n v="18.989999999999998"/>
    <n v="3"/>
    <x v="0"/>
  </r>
  <r>
    <x v="478"/>
    <d v="2024-12-21T00:00:00"/>
    <x v="7"/>
    <x v="0"/>
    <x v="8"/>
    <x v="1"/>
    <x v="0"/>
    <x v="0"/>
    <n v="2"/>
    <n v="18.989999999999998"/>
    <n v="37.979999999999997"/>
    <n v="3"/>
    <x v="0"/>
  </r>
  <r>
    <x v="479"/>
    <d v="2025-07-07T00:00:00"/>
    <x v="0"/>
    <x v="1"/>
    <x v="5"/>
    <x v="0"/>
    <x v="0"/>
    <x v="0"/>
    <n v="2"/>
    <n v="18.989999999999998"/>
    <n v="37.979999999999997"/>
    <n v="3"/>
    <x v="0"/>
  </r>
  <r>
    <x v="480"/>
    <d v="2024-02-17T00:00:00"/>
    <x v="8"/>
    <x v="0"/>
    <x v="5"/>
    <x v="2"/>
    <x v="5"/>
    <x v="0"/>
    <n v="1"/>
    <n v="16.989999999999998"/>
    <n v="16.989999999999998"/>
    <n v="4"/>
    <x v="0"/>
  </r>
  <r>
    <x v="481"/>
    <d v="2025-03-25T00:00:00"/>
    <x v="11"/>
    <x v="1"/>
    <x v="7"/>
    <x v="1"/>
    <x v="9"/>
    <x v="0"/>
    <n v="2"/>
    <n v="32.99"/>
    <n v="65.98"/>
    <n v="4"/>
    <x v="0"/>
  </r>
  <r>
    <x v="482"/>
    <d v="2025-02-16T00:00:00"/>
    <x v="8"/>
    <x v="1"/>
    <x v="0"/>
    <x v="1"/>
    <x v="21"/>
    <x v="1"/>
    <n v="1"/>
    <n v="4.99"/>
    <n v="4.99"/>
    <n v="3"/>
    <x v="0"/>
  </r>
  <r>
    <x v="483"/>
    <d v="2024-03-05T00:00:00"/>
    <x v="11"/>
    <x v="0"/>
    <x v="7"/>
    <x v="2"/>
    <x v="21"/>
    <x v="1"/>
    <n v="2"/>
    <n v="4.99"/>
    <n v="9.98"/>
    <n v="5"/>
    <x v="0"/>
  </r>
  <r>
    <x v="484"/>
    <d v="2024-02-15T00:00:00"/>
    <x v="8"/>
    <x v="0"/>
    <x v="6"/>
    <x v="1"/>
    <x v="6"/>
    <x v="0"/>
    <n v="1"/>
    <n v="24.99"/>
    <n v="24.99"/>
    <n v="3"/>
    <x v="0"/>
  </r>
  <r>
    <x v="485"/>
    <d v="2025-05-20T00:00:00"/>
    <x v="4"/>
    <x v="1"/>
    <x v="0"/>
    <x v="1"/>
    <x v="19"/>
    <x v="0"/>
    <n v="3"/>
    <n v="17.989999999999998"/>
    <n v="53.97"/>
    <n v="5"/>
    <x v="0"/>
  </r>
  <r>
    <x v="486"/>
    <d v="2025-11-04T00:00:00"/>
    <x v="5"/>
    <x v="1"/>
    <x v="5"/>
    <x v="0"/>
    <x v="0"/>
    <x v="0"/>
    <n v="2"/>
    <n v="18.989999999999998"/>
    <n v="37.979999999999997"/>
    <n v="3"/>
    <x v="0"/>
  </r>
  <r>
    <x v="487"/>
    <d v="2024-10-26T00:00:00"/>
    <x v="6"/>
    <x v="0"/>
    <x v="9"/>
    <x v="2"/>
    <x v="0"/>
    <x v="0"/>
    <n v="1"/>
    <n v="18.989999999999998"/>
    <n v="18.989999999999998"/>
    <n v="4"/>
    <x v="0"/>
  </r>
  <r>
    <x v="488"/>
    <d v="2024-06-12T00:00:00"/>
    <x v="3"/>
    <x v="0"/>
    <x v="0"/>
    <x v="2"/>
    <x v="15"/>
    <x v="3"/>
    <n v="1"/>
    <n v="7.99"/>
    <n v="7.99"/>
    <n v="5"/>
    <x v="0"/>
  </r>
  <r>
    <x v="489"/>
    <d v="2024-04-28T00:00:00"/>
    <x v="2"/>
    <x v="0"/>
    <x v="5"/>
    <x v="2"/>
    <x v="16"/>
    <x v="3"/>
    <n v="2"/>
    <n v="8.99"/>
    <n v="17.98"/>
    <n v="4"/>
    <x v="0"/>
  </r>
  <r>
    <x v="490"/>
    <d v="2025-05-10T00:00:00"/>
    <x v="4"/>
    <x v="1"/>
    <x v="1"/>
    <x v="0"/>
    <x v="20"/>
    <x v="1"/>
    <n v="2"/>
    <n v="5.99"/>
    <n v="11.98"/>
    <n v="4"/>
    <x v="0"/>
  </r>
  <r>
    <x v="491"/>
    <d v="2024-03-23T00:00:00"/>
    <x v="11"/>
    <x v="0"/>
    <x v="4"/>
    <x v="2"/>
    <x v="20"/>
    <x v="1"/>
    <n v="2"/>
    <n v="5.99"/>
    <n v="11.98"/>
    <n v="3"/>
    <x v="0"/>
  </r>
  <r>
    <x v="492"/>
    <d v="2025-06-29T00:00:00"/>
    <x v="3"/>
    <x v="1"/>
    <x v="9"/>
    <x v="2"/>
    <x v="20"/>
    <x v="1"/>
    <n v="2"/>
    <n v="5.99"/>
    <n v="11.98"/>
    <n v="4"/>
    <x v="0"/>
  </r>
  <r>
    <x v="493"/>
    <d v="2024-11-15T00:00:00"/>
    <x v="5"/>
    <x v="0"/>
    <x v="3"/>
    <x v="0"/>
    <x v="19"/>
    <x v="0"/>
    <n v="1"/>
    <n v="17.989999999999998"/>
    <n v="17.989999999999998"/>
    <n v="5"/>
    <x v="0"/>
  </r>
  <r>
    <x v="494"/>
    <d v="2024-12-26T00:00:00"/>
    <x v="7"/>
    <x v="0"/>
    <x v="0"/>
    <x v="1"/>
    <x v="10"/>
    <x v="0"/>
    <n v="1"/>
    <n v="22.99"/>
    <n v="22.99"/>
    <n v="5"/>
    <x v="0"/>
  </r>
  <r>
    <x v="495"/>
    <d v="2025-06-10T00:00:00"/>
    <x v="3"/>
    <x v="1"/>
    <x v="9"/>
    <x v="0"/>
    <x v="18"/>
    <x v="3"/>
    <n v="1"/>
    <n v="10.99"/>
    <n v="10.99"/>
    <n v="4"/>
    <x v="0"/>
  </r>
  <r>
    <x v="496"/>
    <d v="2025-11-17T00:00:00"/>
    <x v="5"/>
    <x v="1"/>
    <x v="8"/>
    <x v="0"/>
    <x v="17"/>
    <x v="0"/>
    <n v="1"/>
    <n v="14.99"/>
    <n v="14.99"/>
    <n v="4"/>
    <x v="0"/>
  </r>
  <r>
    <x v="497"/>
    <d v="2024-12-14T00:00:00"/>
    <x v="7"/>
    <x v="0"/>
    <x v="7"/>
    <x v="2"/>
    <x v="5"/>
    <x v="0"/>
    <n v="1"/>
    <n v="16.989999999999998"/>
    <n v="16.989999999999998"/>
    <n v="4"/>
    <x v="0"/>
  </r>
  <r>
    <x v="498"/>
    <d v="2024-12-20T00:00:00"/>
    <x v="7"/>
    <x v="0"/>
    <x v="0"/>
    <x v="0"/>
    <x v="22"/>
    <x v="2"/>
    <n v="2"/>
    <n v="14.99"/>
    <n v="29.98"/>
    <n v="5"/>
    <x v="0"/>
  </r>
  <r>
    <x v="499"/>
    <d v="2025-06-01T00:00:00"/>
    <x v="3"/>
    <x v="1"/>
    <x v="1"/>
    <x v="2"/>
    <x v="13"/>
    <x v="0"/>
    <n v="1"/>
    <n v="15.99"/>
    <n v="15.99"/>
    <n v="5"/>
    <x v="0"/>
  </r>
  <r>
    <x v="500"/>
    <d v="2025-08-29T00:00:00"/>
    <x v="10"/>
    <x v="1"/>
    <x v="2"/>
    <x v="1"/>
    <x v="3"/>
    <x v="1"/>
    <n v="4"/>
    <n v="3.49"/>
    <n v="13.96"/>
    <n v="5"/>
    <x v="0"/>
  </r>
  <r>
    <x v="501"/>
    <d v="2025-09-28T00:00:00"/>
    <x v="1"/>
    <x v="1"/>
    <x v="7"/>
    <x v="2"/>
    <x v="3"/>
    <x v="1"/>
    <n v="1"/>
    <n v="3.49"/>
    <n v="3.49"/>
    <n v="4"/>
    <x v="0"/>
  </r>
  <r>
    <x v="502"/>
    <d v="2025-09-22T00:00:00"/>
    <x v="1"/>
    <x v="1"/>
    <x v="0"/>
    <x v="1"/>
    <x v="16"/>
    <x v="3"/>
    <n v="2"/>
    <n v="8.99"/>
    <n v="17.98"/>
    <n v="3"/>
    <x v="0"/>
  </r>
  <r>
    <x v="503"/>
    <d v="2024-09-14T00:00:00"/>
    <x v="1"/>
    <x v="0"/>
    <x v="5"/>
    <x v="0"/>
    <x v="10"/>
    <x v="0"/>
    <n v="1"/>
    <n v="22.99"/>
    <n v="22.99"/>
    <n v="5"/>
    <x v="0"/>
  </r>
  <r>
    <x v="504"/>
    <d v="2024-11-10T00:00:00"/>
    <x v="5"/>
    <x v="0"/>
    <x v="3"/>
    <x v="0"/>
    <x v="20"/>
    <x v="1"/>
    <n v="1"/>
    <n v="5.99"/>
    <n v="5.99"/>
    <n v="4"/>
    <x v="0"/>
  </r>
  <r>
    <x v="505"/>
    <d v="2024-02-22T00:00:00"/>
    <x v="8"/>
    <x v="0"/>
    <x v="6"/>
    <x v="1"/>
    <x v="22"/>
    <x v="2"/>
    <n v="1"/>
    <n v="14.99"/>
    <n v="14.99"/>
    <n v="5"/>
    <x v="0"/>
  </r>
  <r>
    <x v="506"/>
    <d v="2024-01-20T00:00:00"/>
    <x v="9"/>
    <x v="0"/>
    <x v="5"/>
    <x v="0"/>
    <x v="15"/>
    <x v="3"/>
    <n v="2"/>
    <n v="7.99"/>
    <n v="15.98"/>
    <n v="4"/>
    <x v="0"/>
  </r>
  <r>
    <x v="507"/>
    <d v="2025-05-20T00:00:00"/>
    <x v="4"/>
    <x v="1"/>
    <x v="6"/>
    <x v="2"/>
    <x v="3"/>
    <x v="1"/>
    <n v="2"/>
    <n v="3.49"/>
    <n v="6.98"/>
    <n v="4"/>
    <x v="0"/>
  </r>
  <r>
    <x v="508"/>
    <d v="2025-08-13T00:00:00"/>
    <x v="10"/>
    <x v="1"/>
    <x v="5"/>
    <x v="0"/>
    <x v="20"/>
    <x v="1"/>
    <n v="2"/>
    <n v="5.99"/>
    <n v="11.98"/>
    <n v="5"/>
    <x v="0"/>
  </r>
  <r>
    <x v="509"/>
    <d v="2024-10-19T00:00:00"/>
    <x v="6"/>
    <x v="0"/>
    <x v="3"/>
    <x v="0"/>
    <x v="4"/>
    <x v="1"/>
    <n v="1"/>
    <n v="7.99"/>
    <n v="7.99"/>
    <n v="4"/>
    <x v="0"/>
  </r>
  <r>
    <x v="510"/>
    <d v="2024-11-16T00:00:00"/>
    <x v="5"/>
    <x v="0"/>
    <x v="8"/>
    <x v="1"/>
    <x v="6"/>
    <x v="0"/>
    <n v="2"/>
    <n v="24.99"/>
    <n v="49.98"/>
    <n v="3"/>
    <x v="0"/>
  </r>
  <r>
    <x v="511"/>
    <d v="2024-05-12T00:00:00"/>
    <x v="4"/>
    <x v="0"/>
    <x v="4"/>
    <x v="1"/>
    <x v="9"/>
    <x v="0"/>
    <n v="2"/>
    <n v="32.99"/>
    <n v="65.98"/>
    <n v="4"/>
    <x v="0"/>
  </r>
  <r>
    <x v="512"/>
    <d v="2024-12-18T00:00:00"/>
    <x v="7"/>
    <x v="0"/>
    <x v="6"/>
    <x v="1"/>
    <x v="18"/>
    <x v="3"/>
    <n v="4"/>
    <n v="10.99"/>
    <n v="43.96"/>
    <n v="5"/>
    <x v="0"/>
  </r>
  <r>
    <x v="513"/>
    <d v="2024-08-04T00:00:00"/>
    <x v="10"/>
    <x v="0"/>
    <x v="8"/>
    <x v="2"/>
    <x v="9"/>
    <x v="0"/>
    <n v="1"/>
    <n v="32.99"/>
    <n v="32.99"/>
    <n v="5"/>
    <x v="0"/>
  </r>
  <r>
    <x v="514"/>
    <d v="2025-03-26T00:00:00"/>
    <x v="11"/>
    <x v="1"/>
    <x v="6"/>
    <x v="0"/>
    <x v="12"/>
    <x v="2"/>
    <n v="1"/>
    <n v="10.99"/>
    <n v="10.99"/>
    <n v="4"/>
    <x v="0"/>
  </r>
  <r>
    <x v="515"/>
    <d v="2024-05-05T00:00:00"/>
    <x v="4"/>
    <x v="0"/>
    <x v="5"/>
    <x v="2"/>
    <x v="17"/>
    <x v="0"/>
    <n v="1"/>
    <n v="14.99"/>
    <n v="14.99"/>
    <n v="2"/>
    <x v="1"/>
  </r>
  <r>
    <x v="516"/>
    <d v="2024-03-22T00:00:00"/>
    <x v="11"/>
    <x v="0"/>
    <x v="0"/>
    <x v="1"/>
    <x v="22"/>
    <x v="2"/>
    <n v="1"/>
    <n v="14.99"/>
    <n v="14.99"/>
    <n v="4"/>
    <x v="0"/>
  </r>
  <r>
    <x v="517"/>
    <d v="2025-05-04T00:00:00"/>
    <x v="4"/>
    <x v="1"/>
    <x v="6"/>
    <x v="2"/>
    <x v="5"/>
    <x v="0"/>
    <n v="1"/>
    <n v="16.989999999999998"/>
    <n v="16.989999999999998"/>
    <n v="2"/>
    <x v="1"/>
  </r>
  <r>
    <x v="518"/>
    <d v="2024-07-30T00:00:00"/>
    <x v="0"/>
    <x v="0"/>
    <x v="4"/>
    <x v="1"/>
    <x v="8"/>
    <x v="2"/>
    <n v="3"/>
    <n v="11.99"/>
    <n v="35.97"/>
    <n v="4"/>
    <x v="0"/>
  </r>
  <r>
    <x v="519"/>
    <d v="2024-07-14T00:00:00"/>
    <x v="0"/>
    <x v="0"/>
    <x v="7"/>
    <x v="0"/>
    <x v="13"/>
    <x v="0"/>
    <n v="2"/>
    <n v="15.99"/>
    <n v="31.98"/>
    <n v="3"/>
    <x v="0"/>
  </r>
  <r>
    <x v="520"/>
    <d v="2024-10-03T00:00:00"/>
    <x v="6"/>
    <x v="0"/>
    <x v="0"/>
    <x v="1"/>
    <x v="14"/>
    <x v="2"/>
    <n v="1"/>
    <n v="9.99"/>
    <n v="9.99"/>
    <n v="4"/>
    <x v="0"/>
  </r>
  <r>
    <x v="521"/>
    <d v="2024-07-17T00:00:00"/>
    <x v="0"/>
    <x v="0"/>
    <x v="0"/>
    <x v="2"/>
    <x v="17"/>
    <x v="0"/>
    <n v="3"/>
    <n v="14.99"/>
    <n v="44.97"/>
    <n v="4"/>
    <x v="0"/>
  </r>
  <r>
    <x v="522"/>
    <d v="2025-07-05T00:00:00"/>
    <x v="0"/>
    <x v="1"/>
    <x v="5"/>
    <x v="2"/>
    <x v="15"/>
    <x v="3"/>
    <n v="1"/>
    <n v="7.99"/>
    <n v="7.99"/>
    <n v="3"/>
    <x v="0"/>
  </r>
  <r>
    <x v="523"/>
    <d v="2024-02-03T00:00:00"/>
    <x v="8"/>
    <x v="0"/>
    <x v="7"/>
    <x v="1"/>
    <x v="23"/>
    <x v="3"/>
    <n v="1"/>
    <n v="11.99"/>
    <n v="11.99"/>
    <n v="4"/>
    <x v="0"/>
  </r>
  <r>
    <x v="524"/>
    <d v="2024-05-18T00:00:00"/>
    <x v="4"/>
    <x v="0"/>
    <x v="5"/>
    <x v="1"/>
    <x v="5"/>
    <x v="0"/>
    <n v="3"/>
    <n v="16.989999999999998"/>
    <n v="50.97"/>
    <n v="4"/>
    <x v="0"/>
  </r>
  <r>
    <x v="525"/>
    <d v="2025-03-01T00:00:00"/>
    <x v="11"/>
    <x v="1"/>
    <x v="4"/>
    <x v="0"/>
    <x v="9"/>
    <x v="0"/>
    <n v="1"/>
    <n v="32.99"/>
    <n v="32.99"/>
    <n v="3"/>
    <x v="0"/>
  </r>
  <r>
    <x v="526"/>
    <d v="2024-09-01T00:00:00"/>
    <x v="1"/>
    <x v="0"/>
    <x v="5"/>
    <x v="0"/>
    <x v="19"/>
    <x v="0"/>
    <n v="2"/>
    <n v="17.989999999999998"/>
    <n v="35.979999999999997"/>
    <n v="3"/>
    <x v="0"/>
  </r>
  <r>
    <x v="527"/>
    <d v="2024-09-17T00:00:00"/>
    <x v="1"/>
    <x v="0"/>
    <x v="1"/>
    <x v="2"/>
    <x v="10"/>
    <x v="0"/>
    <n v="1"/>
    <n v="22.99"/>
    <n v="22.99"/>
    <n v="1"/>
    <x v="1"/>
  </r>
  <r>
    <x v="528"/>
    <d v="2024-03-11T00:00:00"/>
    <x v="11"/>
    <x v="0"/>
    <x v="1"/>
    <x v="2"/>
    <x v="10"/>
    <x v="0"/>
    <n v="4"/>
    <n v="22.99"/>
    <n v="91.96"/>
    <n v="4"/>
    <x v="0"/>
  </r>
  <r>
    <x v="529"/>
    <d v="2025-02-22T00:00:00"/>
    <x v="8"/>
    <x v="1"/>
    <x v="1"/>
    <x v="1"/>
    <x v="13"/>
    <x v="0"/>
    <n v="1"/>
    <n v="15.99"/>
    <n v="15.99"/>
    <n v="5"/>
    <x v="0"/>
  </r>
  <r>
    <x v="530"/>
    <d v="2025-12-27T00:00:00"/>
    <x v="7"/>
    <x v="1"/>
    <x v="0"/>
    <x v="2"/>
    <x v="6"/>
    <x v="0"/>
    <n v="1"/>
    <n v="24.99"/>
    <n v="24.99"/>
    <n v="4"/>
    <x v="0"/>
  </r>
  <r>
    <x v="531"/>
    <d v="2025-02-07T00:00:00"/>
    <x v="8"/>
    <x v="1"/>
    <x v="9"/>
    <x v="2"/>
    <x v="11"/>
    <x v="1"/>
    <n v="1"/>
    <n v="6.99"/>
    <n v="6.99"/>
    <n v="4"/>
    <x v="0"/>
  </r>
  <r>
    <x v="532"/>
    <d v="2024-02-08T00:00:00"/>
    <x v="8"/>
    <x v="0"/>
    <x v="5"/>
    <x v="0"/>
    <x v="20"/>
    <x v="1"/>
    <n v="1"/>
    <n v="5.99"/>
    <n v="5.99"/>
    <n v="3"/>
    <x v="0"/>
  </r>
  <r>
    <x v="533"/>
    <d v="2025-07-20T00:00:00"/>
    <x v="0"/>
    <x v="1"/>
    <x v="4"/>
    <x v="1"/>
    <x v="20"/>
    <x v="1"/>
    <n v="2"/>
    <n v="5.99"/>
    <n v="11.98"/>
    <n v="5"/>
    <x v="0"/>
  </r>
  <r>
    <x v="534"/>
    <d v="2024-06-25T00:00:00"/>
    <x v="3"/>
    <x v="0"/>
    <x v="0"/>
    <x v="2"/>
    <x v="4"/>
    <x v="1"/>
    <n v="1"/>
    <n v="7.99"/>
    <n v="7.99"/>
    <n v="1"/>
    <x v="1"/>
  </r>
  <r>
    <x v="535"/>
    <d v="2024-05-28T00:00:00"/>
    <x v="4"/>
    <x v="0"/>
    <x v="1"/>
    <x v="0"/>
    <x v="10"/>
    <x v="0"/>
    <n v="3"/>
    <n v="22.99"/>
    <n v="68.97"/>
    <n v="5"/>
    <x v="0"/>
  </r>
  <r>
    <x v="536"/>
    <d v="2024-01-26T00:00:00"/>
    <x v="9"/>
    <x v="0"/>
    <x v="7"/>
    <x v="2"/>
    <x v="10"/>
    <x v="0"/>
    <n v="1"/>
    <n v="22.99"/>
    <n v="22.99"/>
    <n v="4"/>
    <x v="0"/>
  </r>
  <r>
    <x v="537"/>
    <d v="2025-02-27T00:00:00"/>
    <x v="8"/>
    <x v="1"/>
    <x v="6"/>
    <x v="1"/>
    <x v="5"/>
    <x v="0"/>
    <n v="2"/>
    <n v="16.989999999999998"/>
    <n v="33.979999999999997"/>
    <n v="5"/>
    <x v="0"/>
  </r>
  <r>
    <x v="538"/>
    <d v="2025-04-20T00:00:00"/>
    <x v="2"/>
    <x v="1"/>
    <x v="8"/>
    <x v="0"/>
    <x v="21"/>
    <x v="1"/>
    <n v="1"/>
    <n v="4.99"/>
    <n v="4.99"/>
    <n v="4"/>
    <x v="0"/>
  </r>
  <r>
    <x v="539"/>
    <d v="2024-07-17T00:00:00"/>
    <x v="0"/>
    <x v="0"/>
    <x v="2"/>
    <x v="0"/>
    <x v="4"/>
    <x v="1"/>
    <n v="3"/>
    <n v="7.99"/>
    <n v="23.97"/>
    <n v="3"/>
    <x v="0"/>
  </r>
  <r>
    <x v="540"/>
    <d v="2024-01-07T00:00:00"/>
    <x v="9"/>
    <x v="0"/>
    <x v="2"/>
    <x v="2"/>
    <x v="9"/>
    <x v="0"/>
    <n v="2"/>
    <n v="32.99"/>
    <n v="65.98"/>
    <n v="2"/>
    <x v="1"/>
  </r>
  <r>
    <x v="541"/>
    <d v="2025-08-10T00:00:00"/>
    <x v="10"/>
    <x v="1"/>
    <x v="3"/>
    <x v="0"/>
    <x v="6"/>
    <x v="0"/>
    <n v="2"/>
    <n v="24.99"/>
    <n v="49.98"/>
    <n v="4"/>
    <x v="0"/>
  </r>
  <r>
    <x v="542"/>
    <d v="2025-11-18T00:00:00"/>
    <x v="5"/>
    <x v="1"/>
    <x v="0"/>
    <x v="1"/>
    <x v="16"/>
    <x v="3"/>
    <n v="4"/>
    <n v="8.99"/>
    <n v="35.96"/>
    <n v="5"/>
    <x v="0"/>
  </r>
  <r>
    <x v="543"/>
    <d v="2024-06-27T00:00:00"/>
    <x v="3"/>
    <x v="0"/>
    <x v="8"/>
    <x v="1"/>
    <x v="12"/>
    <x v="2"/>
    <n v="2"/>
    <n v="10.99"/>
    <n v="21.98"/>
    <n v="4"/>
    <x v="0"/>
  </r>
  <r>
    <x v="544"/>
    <d v="2024-08-17T00:00:00"/>
    <x v="10"/>
    <x v="0"/>
    <x v="8"/>
    <x v="1"/>
    <x v="8"/>
    <x v="2"/>
    <n v="1"/>
    <n v="11.99"/>
    <n v="11.99"/>
    <n v="5"/>
    <x v="0"/>
  </r>
  <r>
    <x v="545"/>
    <d v="2025-12-08T00:00:00"/>
    <x v="7"/>
    <x v="1"/>
    <x v="5"/>
    <x v="2"/>
    <x v="11"/>
    <x v="1"/>
    <n v="1"/>
    <n v="6.99"/>
    <n v="6.99"/>
    <n v="5"/>
    <x v="0"/>
  </r>
  <r>
    <x v="546"/>
    <d v="2025-10-04T00:00:00"/>
    <x v="6"/>
    <x v="1"/>
    <x v="5"/>
    <x v="2"/>
    <x v="7"/>
    <x v="2"/>
    <n v="2"/>
    <n v="12.99"/>
    <n v="25.98"/>
    <n v="5"/>
    <x v="0"/>
  </r>
  <r>
    <x v="547"/>
    <d v="2024-08-09T00:00:00"/>
    <x v="10"/>
    <x v="0"/>
    <x v="0"/>
    <x v="1"/>
    <x v="24"/>
    <x v="3"/>
    <n v="1"/>
    <n v="9.99"/>
    <n v="9.99"/>
    <n v="5"/>
    <x v="0"/>
  </r>
  <r>
    <x v="548"/>
    <d v="2024-02-06T00:00:00"/>
    <x v="8"/>
    <x v="0"/>
    <x v="6"/>
    <x v="2"/>
    <x v="17"/>
    <x v="0"/>
    <n v="1"/>
    <n v="14.99"/>
    <n v="14.99"/>
    <n v="5"/>
    <x v="0"/>
  </r>
  <r>
    <x v="549"/>
    <d v="2025-07-27T00:00:00"/>
    <x v="0"/>
    <x v="1"/>
    <x v="4"/>
    <x v="0"/>
    <x v="6"/>
    <x v="0"/>
    <n v="1"/>
    <n v="24.99"/>
    <n v="24.99"/>
    <n v="3"/>
    <x v="0"/>
  </r>
  <r>
    <x v="550"/>
    <d v="2025-10-30T00:00:00"/>
    <x v="6"/>
    <x v="1"/>
    <x v="0"/>
    <x v="1"/>
    <x v="24"/>
    <x v="3"/>
    <n v="4"/>
    <n v="9.99"/>
    <n v="39.96"/>
    <n v="3"/>
    <x v="0"/>
  </r>
  <r>
    <x v="551"/>
    <d v="2024-12-10T00:00:00"/>
    <x v="7"/>
    <x v="0"/>
    <x v="4"/>
    <x v="2"/>
    <x v="14"/>
    <x v="2"/>
    <n v="2"/>
    <n v="9.99"/>
    <n v="19.98"/>
    <n v="5"/>
    <x v="0"/>
  </r>
  <r>
    <x v="552"/>
    <d v="2024-06-17T00:00:00"/>
    <x v="3"/>
    <x v="0"/>
    <x v="5"/>
    <x v="0"/>
    <x v="13"/>
    <x v="0"/>
    <n v="1"/>
    <n v="15.99"/>
    <n v="15.99"/>
    <n v="4"/>
    <x v="0"/>
  </r>
  <r>
    <x v="553"/>
    <d v="2024-07-13T00:00:00"/>
    <x v="0"/>
    <x v="0"/>
    <x v="4"/>
    <x v="2"/>
    <x v="13"/>
    <x v="0"/>
    <n v="3"/>
    <n v="15.99"/>
    <n v="47.97"/>
    <n v="4"/>
    <x v="0"/>
  </r>
  <r>
    <x v="554"/>
    <d v="2024-07-07T00:00:00"/>
    <x v="0"/>
    <x v="0"/>
    <x v="2"/>
    <x v="1"/>
    <x v="1"/>
    <x v="1"/>
    <n v="3"/>
    <n v="9.99"/>
    <n v="29.97"/>
    <n v="4"/>
    <x v="0"/>
  </r>
  <r>
    <x v="555"/>
    <d v="2024-04-21T00:00:00"/>
    <x v="2"/>
    <x v="0"/>
    <x v="6"/>
    <x v="2"/>
    <x v="19"/>
    <x v="0"/>
    <n v="1"/>
    <n v="17.989999999999998"/>
    <n v="17.989999999999998"/>
    <n v="2"/>
    <x v="1"/>
  </r>
  <r>
    <x v="556"/>
    <d v="2024-05-12T00:00:00"/>
    <x v="4"/>
    <x v="0"/>
    <x v="6"/>
    <x v="0"/>
    <x v="17"/>
    <x v="0"/>
    <n v="3"/>
    <n v="14.99"/>
    <n v="44.97"/>
    <n v="3"/>
    <x v="0"/>
  </r>
  <r>
    <x v="557"/>
    <d v="2024-05-26T00:00:00"/>
    <x v="4"/>
    <x v="0"/>
    <x v="1"/>
    <x v="2"/>
    <x v="14"/>
    <x v="2"/>
    <n v="2"/>
    <n v="9.99"/>
    <n v="19.98"/>
    <n v="3"/>
    <x v="0"/>
  </r>
  <r>
    <x v="558"/>
    <d v="2024-12-05T00:00:00"/>
    <x v="7"/>
    <x v="0"/>
    <x v="9"/>
    <x v="2"/>
    <x v="13"/>
    <x v="0"/>
    <n v="2"/>
    <n v="15.99"/>
    <n v="31.98"/>
    <n v="4"/>
    <x v="0"/>
  </r>
  <r>
    <x v="559"/>
    <d v="2024-10-13T00:00:00"/>
    <x v="6"/>
    <x v="0"/>
    <x v="6"/>
    <x v="1"/>
    <x v="12"/>
    <x v="2"/>
    <n v="1"/>
    <n v="10.99"/>
    <n v="10.99"/>
    <n v="4"/>
    <x v="0"/>
  </r>
  <r>
    <x v="560"/>
    <d v="2024-02-14T00:00:00"/>
    <x v="8"/>
    <x v="0"/>
    <x v="8"/>
    <x v="2"/>
    <x v="17"/>
    <x v="0"/>
    <n v="1"/>
    <n v="14.99"/>
    <n v="14.99"/>
    <n v="2"/>
    <x v="1"/>
  </r>
  <r>
    <x v="561"/>
    <d v="2025-09-06T00:00:00"/>
    <x v="1"/>
    <x v="1"/>
    <x v="8"/>
    <x v="1"/>
    <x v="23"/>
    <x v="3"/>
    <n v="1"/>
    <n v="11.99"/>
    <n v="11.99"/>
    <n v="2"/>
    <x v="1"/>
  </r>
  <r>
    <x v="562"/>
    <d v="2025-12-10T00:00:00"/>
    <x v="7"/>
    <x v="1"/>
    <x v="5"/>
    <x v="1"/>
    <x v="2"/>
    <x v="2"/>
    <n v="3"/>
    <n v="8.99"/>
    <n v="26.97"/>
    <n v="4"/>
    <x v="0"/>
  </r>
  <r>
    <x v="563"/>
    <d v="2025-03-28T00:00:00"/>
    <x v="11"/>
    <x v="1"/>
    <x v="5"/>
    <x v="0"/>
    <x v="10"/>
    <x v="0"/>
    <n v="2"/>
    <n v="22.99"/>
    <n v="45.98"/>
    <n v="4"/>
    <x v="0"/>
  </r>
  <r>
    <x v="564"/>
    <d v="2025-08-29T00:00:00"/>
    <x v="10"/>
    <x v="1"/>
    <x v="0"/>
    <x v="1"/>
    <x v="14"/>
    <x v="2"/>
    <n v="1"/>
    <n v="9.99"/>
    <n v="9.99"/>
    <n v="3"/>
    <x v="0"/>
  </r>
  <r>
    <x v="565"/>
    <d v="2025-07-19T00:00:00"/>
    <x v="0"/>
    <x v="1"/>
    <x v="3"/>
    <x v="1"/>
    <x v="6"/>
    <x v="0"/>
    <n v="1"/>
    <n v="24.99"/>
    <n v="24.99"/>
    <n v="3"/>
    <x v="0"/>
  </r>
  <r>
    <x v="566"/>
    <d v="2024-10-31T00:00:00"/>
    <x v="6"/>
    <x v="0"/>
    <x v="1"/>
    <x v="2"/>
    <x v="14"/>
    <x v="2"/>
    <n v="1"/>
    <n v="9.99"/>
    <n v="9.99"/>
    <n v="4"/>
    <x v="0"/>
  </r>
  <r>
    <x v="567"/>
    <d v="2025-03-25T00:00:00"/>
    <x v="11"/>
    <x v="1"/>
    <x v="4"/>
    <x v="2"/>
    <x v="22"/>
    <x v="2"/>
    <n v="2"/>
    <n v="14.99"/>
    <n v="29.98"/>
    <n v="4"/>
    <x v="0"/>
  </r>
  <r>
    <x v="568"/>
    <d v="2024-05-20T00:00:00"/>
    <x v="4"/>
    <x v="0"/>
    <x v="2"/>
    <x v="2"/>
    <x v="13"/>
    <x v="0"/>
    <n v="1"/>
    <n v="15.99"/>
    <n v="15.99"/>
    <n v="4"/>
    <x v="0"/>
  </r>
  <r>
    <x v="569"/>
    <d v="2025-03-28T00:00:00"/>
    <x v="11"/>
    <x v="1"/>
    <x v="2"/>
    <x v="2"/>
    <x v="8"/>
    <x v="2"/>
    <n v="1"/>
    <n v="11.99"/>
    <n v="11.99"/>
    <n v="4"/>
    <x v="0"/>
  </r>
  <r>
    <x v="570"/>
    <d v="2024-08-01T00:00:00"/>
    <x v="10"/>
    <x v="0"/>
    <x v="5"/>
    <x v="0"/>
    <x v="18"/>
    <x v="3"/>
    <n v="3"/>
    <n v="10.99"/>
    <n v="32.97"/>
    <n v="5"/>
    <x v="0"/>
  </r>
  <r>
    <x v="571"/>
    <d v="2024-06-16T00:00:00"/>
    <x v="3"/>
    <x v="0"/>
    <x v="2"/>
    <x v="0"/>
    <x v="0"/>
    <x v="0"/>
    <n v="1"/>
    <n v="18.989999999999998"/>
    <n v="18.989999999999998"/>
    <n v="4"/>
    <x v="0"/>
  </r>
  <r>
    <x v="572"/>
    <d v="2024-11-02T00:00:00"/>
    <x v="5"/>
    <x v="0"/>
    <x v="2"/>
    <x v="2"/>
    <x v="18"/>
    <x v="3"/>
    <n v="2"/>
    <n v="10.99"/>
    <n v="21.98"/>
    <n v="5"/>
    <x v="0"/>
  </r>
  <r>
    <x v="573"/>
    <d v="2025-06-22T00:00:00"/>
    <x v="3"/>
    <x v="1"/>
    <x v="9"/>
    <x v="2"/>
    <x v="17"/>
    <x v="0"/>
    <n v="1"/>
    <n v="14.99"/>
    <n v="14.99"/>
    <n v="1"/>
    <x v="1"/>
  </r>
  <r>
    <x v="574"/>
    <d v="2025-09-04T00:00:00"/>
    <x v="1"/>
    <x v="1"/>
    <x v="2"/>
    <x v="2"/>
    <x v="20"/>
    <x v="1"/>
    <n v="3"/>
    <n v="5.99"/>
    <n v="17.97"/>
    <n v="4"/>
    <x v="0"/>
  </r>
  <r>
    <x v="575"/>
    <d v="2024-05-16T00:00:00"/>
    <x v="4"/>
    <x v="0"/>
    <x v="4"/>
    <x v="0"/>
    <x v="6"/>
    <x v="0"/>
    <n v="3"/>
    <n v="24.99"/>
    <n v="74.97"/>
    <n v="2"/>
    <x v="1"/>
  </r>
  <r>
    <x v="576"/>
    <d v="2024-05-25T00:00:00"/>
    <x v="4"/>
    <x v="0"/>
    <x v="4"/>
    <x v="2"/>
    <x v="0"/>
    <x v="0"/>
    <n v="1"/>
    <n v="18.989999999999998"/>
    <n v="18.989999999999998"/>
    <n v="4"/>
    <x v="0"/>
  </r>
  <r>
    <x v="577"/>
    <d v="2024-05-15T00:00:00"/>
    <x v="4"/>
    <x v="0"/>
    <x v="6"/>
    <x v="1"/>
    <x v="22"/>
    <x v="2"/>
    <n v="1"/>
    <n v="14.99"/>
    <n v="14.99"/>
    <n v="4"/>
    <x v="0"/>
  </r>
  <r>
    <x v="578"/>
    <d v="2025-10-26T00:00:00"/>
    <x v="6"/>
    <x v="1"/>
    <x v="4"/>
    <x v="2"/>
    <x v="13"/>
    <x v="0"/>
    <n v="1"/>
    <n v="15.99"/>
    <n v="15.99"/>
    <n v="2"/>
    <x v="1"/>
  </r>
  <r>
    <x v="579"/>
    <d v="2025-05-15T00:00:00"/>
    <x v="4"/>
    <x v="1"/>
    <x v="8"/>
    <x v="2"/>
    <x v="21"/>
    <x v="1"/>
    <n v="2"/>
    <n v="4.99"/>
    <n v="9.98"/>
    <n v="3"/>
    <x v="0"/>
  </r>
  <r>
    <x v="580"/>
    <d v="2025-10-21T00:00:00"/>
    <x v="6"/>
    <x v="1"/>
    <x v="2"/>
    <x v="1"/>
    <x v="9"/>
    <x v="0"/>
    <n v="3"/>
    <n v="32.99"/>
    <n v="98.97"/>
    <n v="5"/>
    <x v="0"/>
  </r>
  <r>
    <x v="581"/>
    <d v="2025-08-10T00:00:00"/>
    <x v="10"/>
    <x v="1"/>
    <x v="9"/>
    <x v="2"/>
    <x v="12"/>
    <x v="2"/>
    <n v="1"/>
    <n v="10.99"/>
    <n v="10.99"/>
    <n v="5"/>
    <x v="0"/>
  </r>
  <r>
    <x v="582"/>
    <d v="2025-03-24T00:00:00"/>
    <x v="11"/>
    <x v="1"/>
    <x v="1"/>
    <x v="1"/>
    <x v="23"/>
    <x v="3"/>
    <n v="1"/>
    <n v="11.99"/>
    <n v="11.99"/>
    <n v="5"/>
    <x v="0"/>
  </r>
  <r>
    <x v="583"/>
    <d v="2025-10-01T00:00:00"/>
    <x v="6"/>
    <x v="1"/>
    <x v="8"/>
    <x v="2"/>
    <x v="6"/>
    <x v="0"/>
    <n v="2"/>
    <n v="24.99"/>
    <n v="49.98"/>
    <n v="1"/>
    <x v="1"/>
  </r>
  <r>
    <x v="584"/>
    <d v="2025-10-01T00:00:00"/>
    <x v="6"/>
    <x v="1"/>
    <x v="3"/>
    <x v="1"/>
    <x v="13"/>
    <x v="0"/>
    <n v="1"/>
    <n v="15.99"/>
    <n v="15.99"/>
    <n v="4"/>
    <x v="0"/>
  </r>
  <r>
    <x v="585"/>
    <d v="2025-11-07T00:00:00"/>
    <x v="5"/>
    <x v="1"/>
    <x v="7"/>
    <x v="1"/>
    <x v="9"/>
    <x v="0"/>
    <n v="2"/>
    <n v="32.99"/>
    <n v="65.98"/>
    <n v="5"/>
    <x v="0"/>
  </r>
  <r>
    <x v="586"/>
    <d v="2024-06-22T00:00:00"/>
    <x v="3"/>
    <x v="0"/>
    <x v="1"/>
    <x v="1"/>
    <x v="20"/>
    <x v="1"/>
    <n v="1"/>
    <n v="5.99"/>
    <n v="5.99"/>
    <n v="4"/>
    <x v="0"/>
  </r>
  <r>
    <x v="587"/>
    <d v="2024-12-28T00:00:00"/>
    <x v="7"/>
    <x v="0"/>
    <x v="1"/>
    <x v="0"/>
    <x v="5"/>
    <x v="0"/>
    <n v="1"/>
    <n v="16.989999999999998"/>
    <n v="16.989999999999998"/>
    <n v="4"/>
    <x v="0"/>
  </r>
  <r>
    <x v="588"/>
    <d v="2025-09-07T00:00:00"/>
    <x v="1"/>
    <x v="1"/>
    <x v="5"/>
    <x v="2"/>
    <x v="15"/>
    <x v="3"/>
    <n v="4"/>
    <n v="7.99"/>
    <n v="31.96"/>
    <n v="5"/>
    <x v="0"/>
  </r>
  <r>
    <x v="589"/>
    <d v="2024-04-06T00:00:00"/>
    <x v="2"/>
    <x v="0"/>
    <x v="8"/>
    <x v="0"/>
    <x v="4"/>
    <x v="1"/>
    <n v="3"/>
    <n v="7.99"/>
    <n v="23.97"/>
    <n v="4"/>
    <x v="0"/>
  </r>
  <r>
    <x v="590"/>
    <d v="2025-03-23T00:00:00"/>
    <x v="11"/>
    <x v="1"/>
    <x v="1"/>
    <x v="1"/>
    <x v="23"/>
    <x v="3"/>
    <n v="2"/>
    <n v="11.99"/>
    <n v="23.98"/>
    <n v="4"/>
    <x v="0"/>
  </r>
  <r>
    <x v="591"/>
    <d v="2024-07-23T00:00:00"/>
    <x v="0"/>
    <x v="0"/>
    <x v="2"/>
    <x v="0"/>
    <x v="0"/>
    <x v="0"/>
    <n v="3"/>
    <n v="18.989999999999998"/>
    <n v="56.97"/>
    <n v="4"/>
    <x v="0"/>
  </r>
  <r>
    <x v="592"/>
    <d v="2025-11-09T00:00:00"/>
    <x v="5"/>
    <x v="1"/>
    <x v="5"/>
    <x v="0"/>
    <x v="17"/>
    <x v="0"/>
    <n v="1"/>
    <n v="14.99"/>
    <n v="14.99"/>
    <n v="5"/>
    <x v="0"/>
  </r>
  <r>
    <x v="593"/>
    <d v="2024-09-03T00:00:00"/>
    <x v="1"/>
    <x v="0"/>
    <x v="0"/>
    <x v="2"/>
    <x v="9"/>
    <x v="0"/>
    <n v="1"/>
    <n v="32.99"/>
    <n v="32.99"/>
    <n v="5"/>
    <x v="0"/>
  </r>
  <r>
    <x v="594"/>
    <d v="2024-09-07T00:00:00"/>
    <x v="1"/>
    <x v="0"/>
    <x v="6"/>
    <x v="0"/>
    <x v="7"/>
    <x v="2"/>
    <n v="4"/>
    <n v="12.99"/>
    <n v="51.96"/>
    <n v="5"/>
    <x v="0"/>
  </r>
  <r>
    <x v="595"/>
    <d v="2024-04-14T00:00:00"/>
    <x v="2"/>
    <x v="0"/>
    <x v="4"/>
    <x v="2"/>
    <x v="6"/>
    <x v="0"/>
    <n v="3"/>
    <n v="24.99"/>
    <n v="74.97"/>
    <n v="2"/>
    <x v="1"/>
  </r>
  <r>
    <x v="596"/>
    <d v="2024-10-11T00:00:00"/>
    <x v="6"/>
    <x v="0"/>
    <x v="9"/>
    <x v="2"/>
    <x v="1"/>
    <x v="1"/>
    <n v="2"/>
    <n v="9.99"/>
    <n v="19.98"/>
    <n v="5"/>
    <x v="0"/>
  </r>
  <r>
    <x v="597"/>
    <d v="2024-06-26T00:00:00"/>
    <x v="3"/>
    <x v="0"/>
    <x v="6"/>
    <x v="0"/>
    <x v="6"/>
    <x v="0"/>
    <n v="1"/>
    <n v="24.99"/>
    <n v="24.99"/>
    <n v="5"/>
    <x v="0"/>
  </r>
  <r>
    <x v="598"/>
    <d v="2025-11-24T00:00:00"/>
    <x v="5"/>
    <x v="1"/>
    <x v="0"/>
    <x v="2"/>
    <x v="11"/>
    <x v="1"/>
    <n v="3"/>
    <n v="6.99"/>
    <n v="20.97"/>
    <n v="2"/>
    <x v="1"/>
  </r>
  <r>
    <x v="599"/>
    <d v="2025-08-05T00:00:00"/>
    <x v="10"/>
    <x v="1"/>
    <x v="2"/>
    <x v="2"/>
    <x v="5"/>
    <x v="0"/>
    <n v="3"/>
    <n v="16.989999999999998"/>
    <n v="50.97"/>
    <n v="4"/>
    <x v="0"/>
  </r>
  <r>
    <x v="600"/>
    <d v="2024-05-17T00:00:00"/>
    <x v="4"/>
    <x v="0"/>
    <x v="5"/>
    <x v="1"/>
    <x v="18"/>
    <x v="3"/>
    <n v="3"/>
    <n v="10.99"/>
    <n v="32.97"/>
    <n v="5"/>
    <x v="0"/>
  </r>
  <r>
    <x v="601"/>
    <d v="2025-09-30T00:00:00"/>
    <x v="1"/>
    <x v="1"/>
    <x v="0"/>
    <x v="0"/>
    <x v="13"/>
    <x v="0"/>
    <n v="1"/>
    <n v="15.99"/>
    <n v="15.99"/>
    <n v="1"/>
    <x v="1"/>
  </r>
  <r>
    <x v="602"/>
    <d v="2024-08-25T00:00:00"/>
    <x v="10"/>
    <x v="0"/>
    <x v="5"/>
    <x v="0"/>
    <x v="12"/>
    <x v="2"/>
    <n v="3"/>
    <n v="10.99"/>
    <n v="32.97"/>
    <n v="3"/>
    <x v="0"/>
  </r>
  <r>
    <x v="603"/>
    <d v="2025-09-08T00:00:00"/>
    <x v="1"/>
    <x v="1"/>
    <x v="8"/>
    <x v="1"/>
    <x v="19"/>
    <x v="0"/>
    <n v="2"/>
    <n v="17.989999999999998"/>
    <n v="35.979999999999997"/>
    <n v="5"/>
    <x v="0"/>
  </r>
  <r>
    <x v="604"/>
    <d v="2025-03-02T00:00:00"/>
    <x v="11"/>
    <x v="1"/>
    <x v="1"/>
    <x v="2"/>
    <x v="4"/>
    <x v="1"/>
    <n v="2"/>
    <n v="7.99"/>
    <n v="15.98"/>
    <n v="3"/>
    <x v="0"/>
  </r>
  <r>
    <x v="605"/>
    <d v="2024-08-22T00:00:00"/>
    <x v="10"/>
    <x v="0"/>
    <x v="0"/>
    <x v="1"/>
    <x v="10"/>
    <x v="0"/>
    <n v="1"/>
    <n v="22.99"/>
    <n v="22.99"/>
    <n v="5"/>
    <x v="0"/>
  </r>
  <r>
    <x v="606"/>
    <d v="2024-05-17T00:00:00"/>
    <x v="4"/>
    <x v="0"/>
    <x v="0"/>
    <x v="2"/>
    <x v="7"/>
    <x v="2"/>
    <n v="1"/>
    <n v="12.99"/>
    <n v="12.99"/>
    <n v="3"/>
    <x v="0"/>
  </r>
  <r>
    <x v="607"/>
    <d v="2024-05-29T00:00:00"/>
    <x v="4"/>
    <x v="0"/>
    <x v="7"/>
    <x v="0"/>
    <x v="9"/>
    <x v="0"/>
    <n v="2"/>
    <n v="32.99"/>
    <n v="65.98"/>
    <n v="4"/>
    <x v="0"/>
  </r>
  <r>
    <x v="608"/>
    <d v="2025-03-15T00:00:00"/>
    <x v="11"/>
    <x v="1"/>
    <x v="6"/>
    <x v="0"/>
    <x v="2"/>
    <x v="2"/>
    <n v="2"/>
    <n v="8.99"/>
    <n v="17.98"/>
    <n v="5"/>
    <x v="0"/>
  </r>
  <r>
    <x v="609"/>
    <d v="2024-11-15T00:00:00"/>
    <x v="5"/>
    <x v="0"/>
    <x v="1"/>
    <x v="0"/>
    <x v="19"/>
    <x v="0"/>
    <n v="1"/>
    <n v="17.989999999999998"/>
    <n v="17.989999999999998"/>
    <n v="5"/>
    <x v="0"/>
  </r>
  <r>
    <x v="610"/>
    <d v="2025-05-17T00:00:00"/>
    <x v="4"/>
    <x v="1"/>
    <x v="5"/>
    <x v="2"/>
    <x v="5"/>
    <x v="0"/>
    <n v="2"/>
    <n v="16.989999999999998"/>
    <n v="33.979999999999997"/>
    <n v="4"/>
    <x v="0"/>
  </r>
  <r>
    <x v="611"/>
    <d v="2024-06-15T00:00:00"/>
    <x v="3"/>
    <x v="0"/>
    <x v="8"/>
    <x v="1"/>
    <x v="2"/>
    <x v="2"/>
    <n v="3"/>
    <n v="8.99"/>
    <n v="26.97"/>
    <n v="4"/>
    <x v="0"/>
  </r>
  <r>
    <x v="612"/>
    <d v="2025-04-02T00:00:00"/>
    <x v="2"/>
    <x v="1"/>
    <x v="6"/>
    <x v="1"/>
    <x v="11"/>
    <x v="1"/>
    <n v="3"/>
    <n v="6.99"/>
    <n v="20.97"/>
    <n v="4"/>
    <x v="0"/>
  </r>
  <r>
    <x v="613"/>
    <d v="2025-04-01T00:00:00"/>
    <x v="2"/>
    <x v="1"/>
    <x v="5"/>
    <x v="0"/>
    <x v="5"/>
    <x v="0"/>
    <n v="1"/>
    <n v="16.989999999999998"/>
    <n v="16.989999999999998"/>
    <n v="2"/>
    <x v="1"/>
  </r>
  <r>
    <x v="614"/>
    <d v="2024-03-20T00:00:00"/>
    <x v="11"/>
    <x v="0"/>
    <x v="7"/>
    <x v="0"/>
    <x v="6"/>
    <x v="0"/>
    <n v="1"/>
    <n v="24.99"/>
    <n v="24.99"/>
    <n v="4"/>
    <x v="0"/>
  </r>
  <r>
    <x v="615"/>
    <d v="2025-01-31T00:00:00"/>
    <x v="9"/>
    <x v="1"/>
    <x v="5"/>
    <x v="0"/>
    <x v="6"/>
    <x v="0"/>
    <n v="2"/>
    <n v="24.99"/>
    <n v="49.98"/>
    <n v="4"/>
    <x v="0"/>
  </r>
  <r>
    <x v="616"/>
    <d v="2024-05-30T00:00:00"/>
    <x v="4"/>
    <x v="0"/>
    <x v="5"/>
    <x v="1"/>
    <x v="12"/>
    <x v="2"/>
    <n v="2"/>
    <n v="10.99"/>
    <n v="21.98"/>
    <n v="5"/>
    <x v="0"/>
  </r>
  <r>
    <x v="617"/>
    <d v="2025-10-21T00:00:00"/>
    <x v="6"/>
    <x v="1"/>
    <x v="2"/>
    <x v="1"/>
    <x v="14"/>
    <x v="2"/>
    <n v="1"/>
    <n v="9.99"/>
    <n v="9.99"/>
    <n v="3"/>
    <x v="0"/>
  </r>
  <r>
    <x v="618"/>
    <d v="2025-02-23T00:00:00"/>
    <x v="8"/>
    <x v="1"/>
    <x v="8"/>
    <x v="0"/>
    <x v="21"/>
    <x v="1"/>
    <n v="1"/>
    <n v="4.99"/>
    <n v="4.99"/>
    <n v="5"/>
    <x v="0"/>
  </r>
  <r>
    <x v="619"/>
    <d v="2024-09-18T00:00:00"/>
    <x v="1"/>
    <x v="0"/>
    <x v="0"/>
    <x v="0"/>
    <x v="1"/>
    <x v="1"/>
    <n v="1"/>
    <n v="9.99"/>
    <n v="9.99"/>
    <n v="4"/>
    <x v="0"/>
  </r>
  <r>
    <x v="620"/>
    <d v="2025-11-13T00:00:00"/>
    <x v="5"/>
    <x v="1"/>
    <x v="9"/>
    <x v="1"/>
    <x v="10"/>
    <x v="0"/>
    <n v="4"/>
    <n v="22.99"/>
    <n v="91.96"/>
    <n v="4"/>
    <x v="0"/>
  </r>
  <r>
    <x v="621"/>
    <d v="2024-05-23T00:00:00"/>
    <x v="4"/>
    <x v="0"/>
    <x v="0"/>
    <x v="2"/>
    <x v="0"/>
    <x v="0"/>
    <n v="1"/>
    <n v="18.989999999999998"/>
    <n v="18.989999999999998"/>
    <n v="3"/>
    <x v="0"/>
  </r>
  <r>
    <x v="622"/>
    <d v="2025-01-03T00:00:00"/>
    <x v="9"/>
    <x v="1"/>
    <x v="8"/>
    <x v="1"/>
    <x v="2"/>
    <x v="2"/>
    <n v="2"/>
    <n v="8.99"/>
    <n v="17.98"/>
    <n v="5"/>
    <x v="0"/>
  </r>
  <r>
    <x v="623"/>
    <d v="2025-07-04T00:00:00"/>
    <x v="0"/>
    <x v="1"/>
    <x v="4"/>
    <x v="1"/>
    <x v="8"/>
    <x v="2"/>
    <n v="1"/>
    <n v="11.99"/>
    <n v="11.99"/>
    <n v="3"/>
    <x v="0"/>
  </r>
  <r>
    <x v="624"/>
    <d v="2024-05-18T00:00:00"/>
    <x v="4"/>
    <x v="0"/>
    <x v="0"/>
    <x v="0"/>
    <x v="8"/>
    <x v="2"/>
    <n v="2"/>
    <n v="11.99"/>
    <n v="23.98"/>
    <n v="4"/>
    <x v="0"/>
  </r>
  <r>
    <x v="625"/>
    <d v="2025-09-29T00:00:00"/>
    <x v="1"/>
    <x v="1"/>
    <x v="4"/>
    <x v="0"/>
    <x v="11"/>
    <x v="1"/>
    <n v="2"/>
    <n v="6.99"/>
    <n v="13.98"/>
    <n v="3"/>
    <x v="0"/>
  </r>
  <r>
    <x v="626"/>
    <d v="2024-03-15T00:00:00"/>
    <x v="11"/>
    <x v="0"/>
    <x v="4"/>
    <x v="0"/>
    <x v="5"/>
    <x v="0"/>
    <n v="1"/>
    <n v="16.989999999999998"/>
    <n v="16.989999999999998"/>
    <n v="4"/>
    <x v="0"/>
  </r>
  <r>
    <x v="627"/>
    <d v="2024-09-01T00:00:00"/>
    <x v="1"/>
    <x v="0"/>
    <x v="0"/>
    <x v="2"/>
    <x v="23"/>
    <x v="3"/>
    <n v="2"/>
    <n v="11.99"/>
    <n v="23.98"/>
    <n v="3"/>
    <x v="0"/>
  </r>
  <r>
    <x v="628"/>
    <d v="2024-06-23T00:00:00"/>
    <x v="3"/>
    <x v="0"/>
    <x v="3"/>
    <x v="2"/>
    <x v="22"/>
    <x v="2"/>
    <n v="2"/>
    <n v="14.99"/>
    <n v="29.98"/>
    <n v="5"/>
    <x v="0"/>
  </r>
  <r>
    <x v="629"/>
    <d v="2025-02-12T00:00:00"/>
    <x v="8"/>
    <x v="1"/>
    <x v="9"/>
    <x v="0"/>
    <x v="3"/>
    <x v="1"/>
    <n v="1"/>
    <n v="3.49"/>
    <n v="3.49"/>
    <n v="5"/>
    <x v="0"/>
  </r>
  <r>
    <x v="630"/>
    <d v="2024-04-24T00:00:00"/>
    <x v="2"/>
    <x v="0"/>
    <x v="6"/>
    <x v="0"/>
    <x v="24"/>
    <x v="3"/>
    <n v="1"/>
    <n v="9.99"/>
    <n v="9.99"/>
    <n v="2"/>
    <x v="1"/>
  </r>
  <r>
    <x v="631"/>
    <d v="2024-11-24T00:00:00"/>
    <x v="5"/>
    <x v="0"/>
    <x v="4"/>
    <x v="0"/>
    <x v="18"/>
    <x v="3"/>
    <n v="1"/>
    <n v="10.99"/>
    <n v="10.99"/>
    <n v="3"/>
    <x v="0"/>
  </r>
  <r>
    <x v="632"/>
    <d v="2025-12-30T00:00:00"/>
    <x v="7"/>
    <x v="1"/>
    <x v="1"/>
    <x v="2"/>
    <x v="5"/>
    <x v="0"/>
    <n v="1"/>
    <n v="16.989999999999998"/>
    <n v="16.989999999999998"/>
    <n v="2"/>
    <x v="1"/>
  </r>
  <r>
    <x v="633"/>
    <d v="2025-09-20T00:00:00"/>
    <x v="1"/>
    <x v="1"/>
    <x v="5"/>
    <x v="0"/>
    <x v="21"/>
    <x v="1"/>
    <n v="2"/>
    <n v="4.99"/>
    <n v="9.98"/>
    <n v="5"/>
    <x v="0"/>
  </r>
  <r>
    <x v="634"/>
    <d v="2025-10-20T00:00:00"/>
    <x v="6"/>
    <x v="1"/>
    <x v="5"/>
    <x v="1"/>
    <x v="0"/>
    <x v="0"/>
    <n v="1"/>
    <n v="18.989999999999998"/>
    <n v="18.989999999999998"/>
    <n v="4"/>
    <x v="0"/>
  </r>
  <r>
    <x v="635"/>
    <d v="2025-05-18T00:00:00"/>
    <x v="4"/>
    <x v="1"/>
    <x v="9"/>
    <x v="2"/>
    <x v="1"/>
    <x v="1"/>
    <n v="1"/>
    <n v="9.99"/>
    <n v="9.99"/>
    <n v="4"/>
    <x v="0"/>
  </r>
  <r>
    <x v="636"/>
    <d v="2025-03-17T00:00:00"/>
    <x v="11"/>
    <x v="1"/>
    <x v="3"/>
    <x v="2"/>
    <x v="3"/>
    <x v="1"/>
    <n v="1"/>
    <n v="3.49"/>
    <n v="3.49"/>
    <n v="5"/>
    <x v="0"/>
  </r>
  <r>
    <x v="637"/>
    <d v="2025-11-29T00:00:00"/>
    <x v="5"/>
    <x v="1"/>
    <x v="9"/>
    <x v="2"/>
    <x v="1"/>
    <x v="1"/>
    <n v="3"/>
    <n v="9.99"/>
    <n v="29.97"/>
    <n v="5"/>
    <x v="0"/>
  </r>
  <r>
    <x v="638"/>
    <d v="2024-09-01T00:00:00"/>
    <x v="1"/>
    <x v="0"/>
    <x v="9"/>
    <x v="0"/>
    <x v="9"/>
    <x v="0"/>
    <n v="1"/>
    <n v="32.99"/>
    <n v="32.99"/>
    <n v="5"/>
    <x v="0"/>
  </r>
  <r>
    <x v="639"/>
    <d v="2025-07-27T00:00:00"/>
    <x v="0"/>
    <x v="1"/>
    <x v="5"/>
    <x v="2"/>
    <x v="23"/>
    <x v="3"/>
    <n v="1"/>
    <n v="11.99"/>
    <n v="11.99"/>
    <n v="4"/>
    <x v="0"/>
  </r>
  <r>
    <x v="640"/>
    <d v="2025-09-20T00:00:00"/>
    <x v="1"/>
    <x v="1"/>
    <x v="4"/>
    <x v="2"/>
    <x v="21"/>
    <x v="1"/>
    <n v="2"/>
    <n v="4.99"/>
    <n v="9.98"/>
    <n v="4"/>
    <x v="0"/>
  </r>
  <r>
    <x v="641"/>
    <d v="2025-06-05T00:00:00"/>
    <x v="3"/>
    <x v="1"/>
    <x v="9"/>
    <x v="0"/>
    <x v="9"/>
    <x v="0"/>
    <n v="1"/>
    <n v="32.99"/>
    <n v="32.99"/>
    <n v="5"/>
    <x v="0"/>
  </r>
  <r>
    <x v="642"/>
    <d v="2024-09-07T00:00:00"/>
    <x v="1"/>
    <x v="0"/>
    <x v="8"/>
    <x v="2"/>
    <x v="10"/>
    <x v="0"/>
    <n v="2"/>
    <n v="22.99"/>
    <n v="45.98"/>
    <n v="2"/>
    <x v="1"/>
  </r>
  <r>
    <x v="643"/>
    <d v="2024-11-20T00:00:00"/>
    <x v="5"/>
    <x v="0"/>
    <x v="0"/>
    <x v="0"/>
    <x v="13"/>
    <x v="0"/>
    <n v="1"/>
    <n v="15.99"/>
    <n v="15.99"/>
    <n v="4"/>
    <x v="0"/>
  </r>
  <r>
    <x v="644"/>
    <d v="2025-01-23T00:00:00"/>
    <x v="9"/>
    <x v="1"/>
    <x v="9"/>
    <x v="2"/>
    <x v="15"/>
    <x v="3"/>
    <n v="1"/>
    <n v="7.99"/>
    <n v="7.99"/>
    <n v="5"/>
    <x v="0"/>
  </r>
  <r>
    <x v="645"/>
    <d v="2025-02-25T00:00:00"/>
    <x v="8"/>
    <x v="1"/>
    <x v="5"/>
    <x v="2"/>
    <x v="19"/>
    <x v="0"/>
    <n v="2"/>
    <n v="17.989999999999998"/>
    <n v="35.979999999999997"/>
    <n v="5"/>
    <x v="0"/>
  </r>
  <r>
    <x v="646"/>
    <d v="2025-09-27T00:00:00"/>
    <x v="1"/>
    <x v="1"/>
    <x v="1"/>
    <x v="2"/>
    <x v="11"/>
    <x v="1"/>
    <n v="3"/>
    <n v="6.99"/>
    <n v="20.97"/>
    <n v="3"/>
    <x v="0"/>
  </r>
  <r>
    <x v="647"/>
    <d v="2024-04-12T00:00:00"/>
    <x v="2"/>
    <x v="0"/>
    <x v="1"/>
    <x v="1"/>
    <x v="15"/>
    <x v="3"/>
    <n v="3"/>
    <n v="7.99"/>
    <n v="23.97"/>
    <n v="4"/>
    <x v="0"/>
  </r>
  <r>
    <x v="648"/>
    <d v="2025-02-28T00:00:00"/>
    <x v="8"/>
    <x v="1"/>
    <x v="3"/>
    <x v="2"/>
    <x v="23"/>
    <x v="3"/>
    <n v="1"/>
    <n v="11.99"/>
    <n v="11.99"/>
    <n v="4"/>
    <x v="0"/>
  </r>
  <r>
    <x v="649"/>
    <d v="2024-02-28T00:00:00"/>
    <x v="8"/>
    <x v="0"/>
    <x v="1"/>
    <x v="1"/>
    <x v="3"/>
    <x v="1"/>
    <n v="2"/>
    <n v="3.49"/>
    <n v="6.98"/>
    <n v="5"/>
    <x v="0"/>
  </r>
  <r>
    <x v="650"/>
    <d v="2024-04-07T00:00:00"/>
    <x v="2"/>
    <x v="0"/>
    <x v="7"/>
    <x v="2"/>
    <x v="0"/>
    <x v="0"/>
    <n v="2"/>
    <n v="18.989999999999998"/>
    <n v="37.979999999999997"/>
    <n v="3"/>
    <x v="0"/>
  </r>
  <r>
    <x v="651"/>
    <d v="2024-04-06T00:00:00"/>
    <x v="2"/>
    <x v="0"/>
    <x v="8"/>
    <x v="1"/>
    <x v="21"/>
    <x v="1"/>
    <n v="2"/>
    <n v="4.99"/>
    <n v="9.98"/>
    <n v="5"/>
    <x v="0"/>
  </r>
  <r>
    <x v="652"/>
    <d v="2024-05-29T00:00:00"/>
    <x v="4"/>
    <x v="0"/>
    <x v="2"/>
    <x v="0"/>
    <x v="16"/>
    <x v="3"/>
    <n v="2"/>
    <n v="8.99"/>
    <n v="17.98"/>
    <n v="5"/>
    <x v="0"/>
  </r>
  <r>
    <x v="653"/>
    <d v="2024-06-01T00:00:00"/>
    <x v="3"/>
    <x v="0"/>
    <x v="2"/>
    <x v="0"/>
    <x v="14"/>
    <x v="2"/>
    <n v="1"/>
    <n v="9.99"/>
    <n v="9.99"/>
    <n v="4"/>
    <x v="0"/>
  </r>
  <r>
    <x v="654"/>
    <d v="2025-10-26T00:00:00"/>
    <x v="6"/>
    <x v="1"/>
    <x v="6"/>
    <x v="2"/>
    <x v="5"/>
    <x v="0"/>
    <n v="1"/>
    <n v="16.989999999999998"/>
    <n v="16.989999999999998"/>
    <n v="4"/>
    <x v="0"/>
  </r>
  <r>
    <x v="655"/>
    <d v="2025-06-14T00:00:00"/>
    <x v="3"/>
    <x v="1"/>
    <x v="3"/>
    <x v="2"/>
    <x v="19"/>
    <x v="0"/>
    <n v="1"/>
    <n v="17.989999999999998"/>
    <n v="17.989999999999998"/>
    <n v="3"/>
    <x v="0"/>
  </r>
  <r>
    <x v="656"/>
    <d v="2024-12-30T00:00:00"/>
    <x v="7"/>
    <x v="0"/>
    <x v="4"/>
    <x v="1"/>
    <x v="19"/>
    <x v="0"/>
    <n v="1"/>
    <n v="17.989999999999998"/>
    <n v="17.989999999999998"/>
    <n v="4"/>
    <x v="0"/>
  </r>
  <r>
    <x v="657"/>
    <d v="2024-06-30T00:00:00"/>
    <x v="3"/>
    <x v="0"/>
    <x v="5"/>
    <x v="1"/>
    <x v="19"/>
    <x v="0"/>
    <n v="1"/>
    <n v="17.989999999999998"/>
    <n v="17.989999999999998"/>
    <n v="5"/>
    <x v="0"/>
  </r>
  <r>
    <x v="658"/>
    <d v="2024-02-11T00:00:00"/>
    <x v="8"/>
    <x v="0"/>
    <x v="9"/>
    <x v="0"/>
    <x v="2"/>
    <x v="2"/>
    <n v="1"/>
    <n v="8.99"/>
    <n v="8.99"/>
    <n v="4"/>
    <x v="0"/>
  </r>
  <r>
    <x v="659"/>
    <d v="2025-12-02T00:00:00"/>
    <x v="7"/>
    <x v="1"/>
    <x v="0"/>
    <x v="2"/>
    <x v="24"/>
    <x v="3"/>
    <n v="1"/>
    <n v="9.99"/>
    <n v="9.99"/>
    <n v="2"/>
    <x v="1"/>
  </r>
  <r>
    <x v="660"/>
    <d v="2024-01-03T00:00:00"/>
    <x v="9"/>
    <x v="0"/>
    <x v="7"/>
    <x v="0"/>
    <x v="23"/>
    <x v="3"/>
    <n v="1"/>
    <n v="11.99"/>
    <n v="11.99"/>
    <n v="3"/>
    <x v="0"/>
  </r>
  <r>
    <x v="661"/>
    <d v="2024-04-21T00:00:00"/>
    <x v="2"/>
    <x v="0"/>
    <x v="9"/>
    <x v="2"/>
    <x v="10"/>
    <x v="0"/>
    <n v="1"/>
    <n v="22.99"/>
    <n v="22.99"/>
    <n v="4"/>
    <x v="0"/>
  </r>
  <r>
    <x v="662"/>
    <d v="2025-01-15T00:00:00"/>
    <x v="9"/>
    <x v="1"/>
    <x v="1"/>
    <x v="1"/>
    <x v="6"/>
    <x v="0"/>
    <n v="2"/>
    <n v="24.99"/>
    <n v="49.98"/>
    <n v="3"/>
    <x v="0"/>
  </r>
  <r>
    <x v="663"/>
    <d v="2025-02-06T00:00:00"/>
    <x v="8"/>
    <x v="1"/>
    <x v="4"/>
    <x v="1"/>
    <x v="15"/>
    <x v="3"/>
    <n v="1"/>
    <n v="7.99"/>
    <n v="7.99"/>
    <n v="5"/>
    <x v="0"/>
  </r>
  <r>
    <x v="664"/>
    <d v="2025-01-15T00:00:00"/>
    <x v="9"/>
    <x v="1"/>
    <x v="8"/>
    <x v="2"/>
    <x v="5"/>
    <x v="0"/>
    <n v="1"/>
    <n v="16.989999999999998"/>
    <n v="16.989999999999998"/>
    <n v="4"/>
    <x v="0"/>
  </r>
  <r>
    <x v="665"/>
    <d v="2024-06-30T00:00:00"/>
    <x v="3"/>
    <x v="0"/>
    <x v="4"/>
    <x v="0"/>
    <x v="0"/>
    <x v="0"/>
    <n v="1"/>
    <n v="18.989999999999998"/>
    <n v="18.989999999999998"/>
    <n v="4"/>
    <x v="0"/>
  </r>
  <r>
    <x v="666"/>
    <d v="2025-09-19T00:00:00"/>
    <x v="1"/>
    <x v="1"/>
    <x v="5"/>
    <x v="1"/>
    <x v="21"/>
    <x v="1"/>
    <n v="4"/>
    <n v="4.99"/>
    <n v="19.96"/>
    <n v="4"/>
    <x v="0"/>
  </r>
  <r>
    <x v="667"/>
    <d v="2025-11-07T00:00:00"/>
    <x v="5"/>
    <x v="1"/>
    <x v="3"/>
    <x v="1"/>
    <x v="10"/>
    <x v="0"/>
    <n v="1"/>
    <n v="22.99"/>
    <n v="22.99"/>
    <n v="3"/>
    <x v="0"/>
  </r>
  <r>
    <x v="668"/>
    <d v="2025-09-02T00:00:00"/>
    <x v="1"/>
    <x v="1"/>
    <x v="6"/>
    <x v="2"/>
    <x v="24"/>
    <x v="3"/>
    <n v="1"/>
    <n v="9.99"/>
    <n v="9.99"/>
    <n v="3"/>
    <x v="0"/>
  </r>
  <r>
    <x v="669"/>
    <d v="2024-09-19T00:00:00"/>
    <x v="1"/>
    <x v="0"/>
    <x v="1"/>
    <x v="1"/>
    <x v="18"/>
    <x v="3"/>
    <n v="1"/>
    <n v="10.99"/>
    <n v="10.99"/>
    <n v="3"/>
    <x v="0"/>
  </r>
  <r>
    <x v="670"/>
    <d v="2025-04-10T00:00:00"/>
    <x v="2"/>
    <x v="1"/>
    <x v="6"/>
    <x v="2"/>
    <x v="23"/>
    <x v="3"/>
    <n v="1"/>
    <n v="11.99"/>
    <n v="11.99"/>
    <n v="4"/>
    <x v="0"/>
  </r>
  <r>
    <x v="671"/>
    <d v="2025-03-04T00:00:00"/>
    <x v="11"/>
    <x v="1"/>
    <x v="2"/>
    <x v="0"/>
    <x v="17"/>
    <x v="0"/>
    <n v="1"/>
    <n v="14.99"/>
    <n v="14.99"/>
    <n v="5"/>
    <x v="0"/>
  </r>
  <r>
    <x v="672"/>
    <d v="2025-10-11T00:00:00"/>
    <x v="6"/>
    <x v="1"/>
    <x v="3"/>
    <x v="1"/>
    <x v="16"/>
    <x v="3"/>
    <n v="3"/>
    <n v="8.99"/>
    <n v="26.97"/>
    <n v="3"/>
    <x v="0"/>
  </r>
  <r>
    <x v="673"/>
    <d v="2024-12-21T00:00:00"/>
    <x v="7"/>
    <x v="0"/>
    <x v="5"/>
    <x v="2"/>
    <x v="9"/>
    <x v="0"/>
    <n v="4"/>
    <n v="32.99"/>
    <n v="131.96"/>
    <n v="5"/>
    <x v="0"/>
  </r>
  <r>
    <x v="674"/>
    <d v="2024-01-06T00:00:00"/>
    <x v="9"/>
    <x v="0"/>
    <x v="4"/>
    <x v="0"/>
    <x v="24"/>
    <x v="3"/>
    <n v="2"/>
    <n v="9.99"/>
    <n v="19.98"/>
    <n v="4"/>
    <x v="0"/>
  </r>
  <r>
    <x v="675"/>
    <d v="2025-11-10T00:00:00"/>
    <x v="5"/>
    <x v="1"/>
    <x v="2"/>
    <x v="2"/>
    <x v="8"/>
    <x v="2"/>
    <n v="2"/>
    <n v="11.99"/>
    <n v="23.98"/>
    <n v="4"/>
    <x v="0"/>
  </r>
  <r>
    <x v="676"/>
    <d v="2024-06-10T00:00:00"/>
    <x v="3"/>
    <x v="0"/>
    <x v="8"/>
    <x v="0"/>
    <x v="22"/>
    <x v="2"/>
    <n v="2"/>
    <n v="14.99"/>
    <n v="29.98"/>
    <n v="4"/>
    <x v="0"/>
  </r>
  <r>
    <x v="677"/>
    <d v="2024-11-15T00:00:00"/>
    <x v="5"/>
    <x v="0"/>
    <x v="3"/>
    <x v="0"/>
    <x v="6"/>
    <x v="0"/>
    <n v="3"/>
    <n v="24.99"/>
    <n v="74.97"/>
    <n v="5"/>
    <x v="0"/>
  </r>
  <r>
    <x v="678"/>
    <d v="2025-06-15T00:00:00"/>
    <x v="3"/>
    <x v="1"/>
    <x v="5"/>
    <x v="1"/>
    <x v="20"/>
    <x v="1"/>
    <n v="1"/>
    <n v="5.99"/>
    <n v="5.99"/>
    <n v="2"/>
    <x v="1"/>
  </r>
  <r>
    <x v="679"/>
    <d v="2025-06-27T00:00:00"/>
    <x v="3"/>
    <x v="1"/>
    <x v="6"/>
    <x v="0"/>
    <x v="14"/>
    <x v="2"/>
    <n v="4"/>
    <n v="9.99"/>
    <n v="39.96"/>
    <n v="5"/>
    <x v="0"/>
  </r>
  <r>
    <x v="680"/>
    <d v="2025-05-05T00:00:00"/>
    <x v="4"/>
    <x v="1"/>
    <x v="5"/>
    <x v="2"/>
    <x v="3"/>
    <x v="1"/>
    <n v="1"/>
    <n v="3.49"/>
    <n v="3.49"/>
    <n v="4"/>
    <x v="0"/>
  </r>
  <r>
    <x v="681"/>
    <d v="2024-12-20T00:00:00"/>
    <x v="7"/>
    <x v="0"/>
    <x v="1"/>
    <x v="0"/>
    <x v="7"/>
    <x v="2"/>
    <n v="1"/>
    <n v="12.99"/>
    <n v="12.99"/>
    <n v="4"/>
    <x v="0"/>
  </r>
  <r>
    <x v="682"/>
    <d v="2025-12-09T00:00:00"/>
    <x v="7"/>
    <x v="1"/>
    <x v="6"/>
    <x v="2"/>
    <x v="7"/>
    <x v="2"/>
    <n v="2"/>
    <n v="12.99"/>
    <n v="25.98"/>
    <n v="5"/>
    <x v="0"/>
  </r>
  <r>
    <x v="683"/>
    <d v="2025-09-09T00:00:00"/>
    <x v="1"/>
    <x v="1"/>
    <x v="2"/>
    <x v="2"/>
    <x v="3"/>
    <x v="1"/>
    <n v="1"/>
    <n v="3.49"/>
    <n v="3.49"/>
    <n v="5"/>
    <x v="0"/>
  </r>
  <r>
    <x v="684"/>
    <d v="2024-12-17T00:00:00"/>
    <x v="7"/>
    <x v="0"/>
    <x v="2"/>
    <x v="0"/>
    <x v="13"/>
    <x v="0"/>
    <n v="2"/>
    <n v="15.99"/>
    <n v="31.98"/>
    <n v="5"/>
    <x v="0"/>
  </r>
  <r>
    <x v="685"/>
    <d v="2025-06-06T00:00:00"/>
    <x v="3"/>
    <x v="1"/>
    <x v="7"/>
    <x v="0"/>
    <x v="4"/>
    <x v="1"/>
    <n v="2"/>
    <n v="7.99"/>
    <n v="15.98"/>
    <n v="5"/>
    <x v="0"/>
  </r>
  <r>
    <x v="686"/>
    <d v="2024-04-13T00:00:00"/>
    <x v="2"/>
    <x v="0"/>
    <x v="5"/>
    <x v="2"/>
    <x v="10"/>
    <x v="0"/>
    <n v="2"/>
    <n v="22.99"/>
    <n v="45.98"/>
    <n v="4"/>
    <x v="0"/>
  </r>
  <r>
    <x v="687"/>
    <d v="2025-08-23T00:00:00"/>
    <x v="10"/>
    <x v="1"/>
    <x v="0"/>
    <x v="2"/>
    <x v="19"/>
    <x v="0"/>
    <n v="1"/>
    <n v="17.989999999999998"/>
    <n v="17.989999999999998"/>
    <n v="3"/>
    <x v="0"/>
  </r>
  <r>
    <x v="688"/>
    <d v="2025-08-26T00:00:00"/>
    <x v="10"/>
    <x v="1"/>
    <x v="9"/>
    <x v="0"/>
    <x v="12"/>
    <x v="2"/>
    <n v="1"/>
    <n v="10.99"/>
    <n v="10.99"/>
    <n v="3"/>
    <x v="0"/>
  </r>
  <r>
    <x v="689"/>
    <d v="2025-08-09T00:00:00"/>
    <x v="10"/>
    <x v="1"/>
    <x v="5"/>
    <x v="1"/>
    <x v="1"/>
    <x v="1"/>
    <n v="2"/>
    <n v="9.99"/>
    <n v="19.98"/>
    <n v="5"/>
    <x v="0"/>
  </r>
  <r>
    <x v="690"/>
    <d v="2025-09-03T00:00:00"/>
    <x v="1"/>
    <x v="1"/>
    <x v="3"/>
    <x v="1"/>
    <x v="15"/>
    <x v="3"/>
    <n v="3"/>
    <n v="7.99"/>
    <n v="23.97"/>
    <n v="5"/>
    <x v="0"/>
  </r>
  <r>
    <x v="691"/>
    <d v="2025-06-08T00:00:00"/>
    <x v="3"/>
    <x v="1"/>
    <x v="9"/>
    <x v="2"/>
    <x v="9"/>
    <x v="0"/>
    <n v="4"/>
    <n v="32.99"/>
    <n v="131.96"/>
    <n v="5"/>
    <x v="0"/>
  </r>
  <r>
    <x v="692"/>
    <d v="2025-04-18T00:00:00"/>
    <x v="2"/>
    <x v="1"/>
    <x v="8"/>
    <x v="1"/>
    <x v="6"/>
    <x v="0"/>
    <n v="1"/>
    <n v="24.99"/>
    <n v="24.99"/>
    <n v="4"/>
    <x v="0"/>
  </r>
  <r>
    <x v="693"/>
    <d v="2024-02-29T00:00:00"/>
    <x v="8"/>
    <x v="0"/>
    <x v="2"/>
    <x v="0"/>
    <x v="21"/>
    <x v="1"/>
    <n v="2"/>
    <n v="4.99"/>
    <n v="9.98"/>
    <n v="4"/>
    <x v="0"/>
  </r>
  <r>
    <x v="694"/>
    <d v="2024-12-13T00:00:00"/>
    <x v="7"/>
    <x v="0"/>
    <x v="2"/>
    <x v="0"/>
    <x v="11"/>
    <x v="1"/>
    <n v="3"/>
    <n v="6.99"/>
    <n v="20.97"/>
    <n v="2"/>
    <x v="1"/>
  </r>
  <r>
    <x v="695"/>
    <d v="2024-09-20T00:00:00"/>
    <x v="1"/>
    <x v="0"/>
    <x v="1"/>
    <x v="0"/>
    <x v="15"/>
    <x v="3"/>
    <n v="1"/>
    <n v="7.99"/>
    <n v="7.99"/>
    <n v="3"/>
    <x v="0"/>
  </r>
  <r>
    <x v="696"/>
    <d v="2024-11-29T00:00:00"/>
    <x v="5"/>
    <x v="0"/>
    <x v="4"/>
    <x v="1"/>
    <x v="21"/>
    <x v="1"/>
    <n v="1"/>
    <n v="4.99"/>
    <n v="4.99"/>
    <n v="4"/>
    <x v="0"/>
  </r>
  <r>
    <x v="697"/>
    <d v="2025-02-03T00:00:00"/>
    <x v="8"/>
    <x v="1"/>
    <x v="2"/>
    <x v="2"/>
    <x v="19"/>
    <x v="0"/>
    <n v="1"/>
    <n v="17.989999999999998"/>
    <n v="17.989999999999998"/>
    <n v="4"/>
    <x v="0"/>
  </r>
  <r>
    <x v="698"/>
    <d v="2024-02-27T00:00:00"/>
    <x v="8"/>
    <x v="0"/>
    <x v="8"/>
    <x v="0"/>
    <x v="22"/>
    <x v="2"/>
    <n v="1"/>
    <n v="14.99"/>
    <n v="14.99"/>
    <n v="5"/>
    <x v="0"/>
  </r>
  <r>
    <x v="699"/>
    <d v="2024-01-01T00:00:00"/>
    <x v="9"/>
    <x v="0"/>
    <x v="5"/>
    <x v="0"/>
    <x v="17"/>
    <x v="0"/>
    <n v="2"/>
    <n v="14.99"/>
    <n v="29.98"/>
    <n v="5"/>
    <x v="0"/>
  </r>
  <r>
    <x v="700"/>
    <d v="2025-10-26T00:00:00"/>
    <x v="6"/>
    <x v="1"/>
    <x v="8"/>
    <x v="2"/>
    <x v="6"/>
    <x v="0"/>
    <n v="2"/>
    <n v="24.99"/>
    <n v="49.98"/>
    <n v="5"/>
    <x v="0"/>
  </r>
  <r>
    <x v="701"/>
    <d v="2024-06-14T00:00:00"/>
    <x v="3"/>
    <x v="0"/>
    <x v="3"/>
    <x v="1"/>
    <x v="6"/>
    <x v="0"/>
    <n v="1"/>
    <n v="24.99"/>
    <n v="24.99"/>
    <n v="4"/>
    <x v="0"/>
  </r>
  <r>
    <x v="702"/>
    <d v="2025-02-22T00:00:00"/>
    <x v="8"/>
    <x v="1"/>
    <x v="0"/>
    <x v="2"/>
    <x v="0"/>
    <x v="0"/>
    <n v="2"/>
    <n v="18.989999999999998"/>
    <n v="37.979999999999997"/>
    <n v="4"/>
    <x v="0"/>
  </r>
  <r>
    <x v="703"/>
    <d v="2024-06-07T00:00:00"/>
    <x v="3"/>
    <x v="0"/>
    <x v="2"/>
    <x v="2"/>
    <x v="17"/>
    <x v="0"/>
    <n v="1"/>
    <n v="14.99"/>
    <n v="14.99"/>
    <n v="4"/>
    <x v="0"/>
  </r>
  <r>
    <x v="704"/>
    <d v="2024-07-16T00:00:00"/>
    <x v="0"/>
    <x v="0"/>
    <x v="5"/>
    <x v="2"/>
    <x v="23"/>
    <x v="3"/>
    <n v="2"/>
    <n v="11.99"/>
    <n v="23.98"/>
    <n v="5"/>
    <x v="0"/>
  </r>
  <r>
    <x v="705"/>
    <d v="2024-07-17T00:00:00"/>
    <x v="0"/>
    <x v="0"/>
    <x v="3"/>
    <x v="0"/>
    <x v="22"/>
    <x v="2"/>
    <n v="1"/>
    <n v="14.99"/>
    <n v="14.99"/>
    <n v="4"/>
    <x v="0"/>
  </r>
  <r>
    <x v="706"/>
    <d v="2024-09-30T00:00:00"/>
    <x v="1"/>
    <x v="0"/>
    <x v="5"/>
    <x v="1"/>
    <x v="4"/>
    <x v="1"/>
    <n v="1"/>
    <n v="7.99"/>
    <n v="7.99"/>
    <n v="5"/>
    <x v="0"/>
  </r>
  <r>
    <x v="707"/>
    <d v="2024-08-05T00:00:00"/>
    <x v="10"/>
    <x v="0"/>
    <x v="4"/>
    <x v="2"/>
    <x v="22"/>
    <x v="2"/>
    <n v="3"/>
    <n v="14.99"/>
    <n v="44.97"/>
    <n v="5"/>
    <x v="0"/>
  </r>
  <r>
    <x v="708"/>
    <d v="2024-03-07T00:00:00"/>
    <x v="11"/>
    <x v="0"/>
    <x v="0"/>
    <x v="0"/>
    <x v="15"/>
    <x v="3"/>
    <n v="1"/>
    <n v="7.99"/>
    <n v="7.99"/>
    <n v="5"/>
    <x v="0"/>
  </r>
  <r>
    <x v="709"/>
    <d v="2025-02-12T00:00:00"/>
    <x v="8"/>
    <x v="1"/>
    <x v="5"/>
    <x v="2"/>
    <x v="7"/>
    <x v="2"/>
    <n v="2"/>
    <n v="12.99"/>
    <n v="25.98"/>
    <n v="3"/>
    <x v="0"/>
  </r>
  <r>
    <x v="710"/>
    <d v="2024-07-25T00:00:00"/>
    <x v="0"/>
    <x v="0"/>
    <x v="4"/>
    <x v="2"/>
    <x v="17"/>
    <x v="0"/>
    <n v="2"/>
    <n v="14.99"/>
    <n v="29.98"/>
    <n v="4"/>
    <x v="0"/>
  </r>
  <r>
    <x v="711"/>
    <d v="2024-10-24T00:00:00"/>
    <x v="6"/>
    <x v="0"/>
    <x v="8"/>
    <x v="1"/>
    <x v="18"/>
    <x v="3"/>
    <n v="1"/>
    <n v="10.99"/>
    <n v="10.99"/>
    <n v="4"/>
    <x v="0"/>
  </r>
  <r>
    <x v="712"/>
    <d v="2024-10-13T00:00:00"/>
    <x v="6"/>
    <x v="0"/>
    <x v="0"/>
    <x v="2"/>
    <x v="5"/>
    <x v="0"/>
    <n v="2"/>
    <n v="16.989999999999998"/>
    <n v="33.979999999999997"/>
    <n v="5"/>
    <x v="0"/>
  </r>
  <r>
    <x v="713"/>
    <d v="2024-04-12T00:00:00"/>
    <x v="2"/>
    <x v="0"/>
    <x v="3"/>
    <x v="1"/>
    <x v="17"/>
    <x v="0"/>
    <n v="3"/>
    <n v="14.99"/>
    <n v="44.97"/>
    <n v="4"/>
    <x v="0"/>
  </r>
  <r>
    <x v="714"/>
    <d v="2025-09-19T00:00:00"/>
    <x v="1"/>
    <x v="1"/>
    <x v="2"/>
    <x v="2"/>
    <x v="4"/>
    <x v="1"/>
    <n v="1"/>
    <n v="7.99"/>
    <n v="7.99"/>
    <n v="5"/>
    <x v="0"/>
  </r>
  <r>
    <x v="715"/>
    <d v="2025-04-01T00:00:00"/>
    <x v="2"/>
    <x v="1"/>
    <x v="8"/>
    <x v="0"/>
    <x v="0"/>
    <x v="0"/>
    <n v="1"/>
    <n v="18.989999999999998"/>
    <n v="18.989999999999998"/>
    <n v="1"/>
    <x v="1"/>
  </r>
  <r>
    <x v="716"/>
    <d v="2024-09-04T00:00:00"/>
    <x v="1"/>
    <x v="0"/>
    <x v="8"/>
    <x v="1"/>
    <x v="6"/>
    <x v="0"/>
    <n v="1"/>
    <n v="24.99"/>
    <n v="24.99"/>
    <n v="5"/>
    <x v="0"/>
  </r>
  <r>
    <x v="717"/>
    <d v="2025-05-17T00:00:00"/>
    <x v="4"/>
    <x v="1"/>
    <x v="1"/>
    <x v="0"/>
    <x v="5"/>
    <x v="0"/>
    <n v="2"/>
    <n v="16.989999999999998"/>
    <n v="33.979999999999997"/>
    <n v="3"/>
    <x v="0"/>
  </r>
  <r>
    <x v="718"/>
    <d v="2025-05-29T00:00:00"/>
    <x v="4"/>
    <x v="1"/>
    <x v="5"/>
    <x v="2"/>
    <x v="20"/>
    <x v="1"/>
    <n v="3"/>
    <n v="5.99"/>
    <n v="17.97"/>
    <n v="5"/>
    <x v="0"/>
  </r>
  <r>
    <x v="719"/>
    <d v="2024-02-26T00:00:00"/>
    <x v="8"/>
    <x v="0"/>
    <x v="8"/>
    <x v="2"/>
    <x v="6"/>
    <x v="0"/>
    <n v="1"/>
    <n v="24.99"/>
    <n v="24.99"/>
    <n v="3"/>
    <x v="0"/>
  </r>
  <r>
    <x v="720"/>
    <d v="2025-03-13T00:00:00"/>
    <x v="11"/>
    <x v="1"/>
    <x v="5"/>
    <x v="2"/>
    <x v="1"/>
    <x v="1"/>
    <n v="2"/>
    <n v="9.99"/>
    <n v="19.98"/>
    <n v="4"/>
    <x v="0"/>
  </r>
  <r>
    <x v="721"/>
    <d v="2024-10-20T00:00:00"/>
    <x v="6"/>
    <x v="0"/>
    <x v="1"/>
    <x v="0"/>
    <x v="6"/>
    <x v="0"/>
    <n v="1"/>
    <n v="24.99"/>
    <n v="24.99"/>
    <n v="4"/>
    <x v="0"/>
  </r>
  <r>
    <x v="722"/>
    <d v="2024-08-09T00:00:00"/>
    <x v="10"/>
    <x v="0"/>
    <x v="0"/>
    <x v="0"/>
    <x v="0"/>
    <x v="0"/>
    <n v="2"/>
    <n v="18.989999999999998"/>
    <n v="37.979999999999997"/>
    <n v="4"/>
    <x v="0"/>
  </r>
  <r>
    <x v="723"/>
    <d v="2024-09-22T00:00:00"/>
    <x v="1"/>
    <x v="0"/>
    <x v="4"/>
    <x v="0"/>
    <x v="7"/>
    <x v="2"/>
    <n v="2"/>
    <n v="12.99"/>
    <n v="25.98"/>
    <n v="5"/>
    <x v="0"/>
  </r>
  <r>
    <x v="724"/>
    <d v="2025-05-03T00:00:00"/>
    <x v="4"/>
    <x v="1"/>
    <x v="6"/>
    <x v="1"/>
    <x v="10"/>
    <x v="0"/>
    <n v="2"/>
    <n v="22.99"/>
    <n v="45.98"/>
    <n v="4"/>
    <x v="0"/>
  </r>
  <r>
    <x v="725"/>
    <d v="2024-10-27T00:00:00"/>
    <x v="6"/>
    <x v="0"/>
    <x v="5"/>
    <x v="1"/>
    <x v="6"/>
    <x v="0"/>
    <n v="1"/>
    <n v="24.99"/>
    <n v="24.99"/>
    <n v="3"/>
    <x v="0"/>
  </r>
  <r>
    <x v="726"/>
    <d v="2025-07-09T00:00:00"/>
    <x v="0"/>
    <x v="1"/>
    <x v="2"/>
    <x v="0"/>
    <x v="22"/>
    <x v="2"/>
    <n v="1"/>
    <n v="14.99"/>
    <n v="14.99"/>
    <n v="5"/>
    <x v="0"/>
  </r>
  <r>
    <x v="727"/>
    <d v="2025-01-21T00:00:00"/>
    <x v="9"/>
    <x v="1"/>
    <x v="7"/>
    <x v="1"/>
    <x v="19"/>
    <x v="0"/>
    <n v="2"/>
    <n v="17.989999999999998"/>
    <n v="35.979999999999997"/>
    <n v="5"/>
    <x v="0"/>
  </r>
  <r>
    <x v="728"/>
    <d v="2024-05-10T00:00:00"/>
    <x v="4"/>
    <x v="0"/>
    <x v="6"/>
    <x v="2"/>
    <x v="0"/>
    <x v="0"/>
    <n v="1"/>
    <n v="18.989999999999998"/>
    <n v="18.989999999999998"/>
    <n v="4"/>
    <x v="0"/>
  </r>
  <r>
    <x v="729"/>
    <d v="2025-10-08T00:00:00"/>
    <x v="6"/>
    <x v="1"/>
    <x v="9"/>
    <x v="0"/>
    <x v="21"/>
    <x v="1"/>
    <n v="2"/>
    <n v="4.99"/>
    <n v="9.98"/>
    <n v="2"/>
    <x v="1"/>
  </r>
  <r>
    <x v="730"/>
    <d v="2025-01-01T00:00:00"/>
    <x v="9"/>
    <x v="1"/>
    <x v="9"/>
    <x v="0"/>
    <x v="19"/>
    <x v="0"/>
    <n v="1"/>
    <n v="17.989999999999998"/>
    <n v="17.989999999999998"/>
    <n v="5"/>
    <x v="0"/>
  </r>
  <r>
    <x v="731"/>
    <d v="2024-12-22T00:00:00"/>
    <x v="7"/>
    <x v="0"/>
    <x v="6"/>
    <x v="1"/>
    <x v="0"/>
    <x v="0"/>
    <n v="1"/>
    <n v="18.989999999999998"/>
    <n v="18.989999999999998"/>
    <n v="3"/>
    <x v="0"/>
  </r>
  <r>
    <x v="732"/>
    <d v="2025-11-15T00:00:00"/>
    <x v="5"/>
    <x v="1"/>
    <x v="9"/>
    <x v="2"/>
    <x v="16"/>
    <x v="3"/>
    <n v="1"/>
    <n v="8.99"/>
    <n v="8.99"/>
    <n v="5"/>
    <x v="0"/>
  </r>
  <r>
    <x v="733"/>
    <d v="2025-07-30T00:00:00"/>
    <x v="0"/>
    <x v="1"/>
    <x v="4"/>
    <x v="1"/>
    <x v="13"/>
    <x v="0"/>
    <n v="2"/>
    <n v="15.99"/>
    <n v="31.98"/>
    <n v="5"/>
    <x v="0"/>
  </r>
  <r>
    <x v="734"/>
    <d v="2024-12-13T00:00:00"/>
    <x v="7"/>
    <x v="0"/>
    <x v="8"/>
    <x v="2"/>
    <x v="14"/>
    <x v="2"/>
    <n v="1"/>
    <n v="9.99"/>
    <n v="9.99"/>
    <n v="5"/>
    <x v="0"/>
  </r>
  <r>
    <x v="735"/>
    <d v="2024-07-06T00:00:00"/>
    <x v="0"/>
    <x v="0"/>
    <x v="3"/>
    <x v="2"/>
    <x v="21"/>
    <x v="1"/>
    <n v="1"/>
    <n v="4.99"/>
    <n v="4.99"/>
    <n v="5"/>
    <x v="0"/>
  </r>
  <r>
    <x v="736"/>
    <d v="2025-12-13T00:00:00"/>
    <x v="7"/>
    <x v="1"/>
    <x v="6"/>
    <x v="0"/>
    <x v="10"/>
    <x v="0"/>
    <n v="3"/>
    <n v="22.99"/>
    <n v="68.97"/>
    <n v="5"/>
    <x v="0"/>
  </r>
  <r>
    <x v="737"/>
    <d v="2024-11-25T00:00:00"/>
    <x v="5"/>
    <x v="0"/>
    <x v="7"/>
    <x v="2"/>
    <x v="11"/>
    <x v="1"/>
    <n v="2"/>
    <n v="6.99"/>
    <n v="13.98"/>
    <n v="1"/>
    <x v="1"/>
  </r>
  <r>
    <x v="738"/>
    <d v="2024-11-08T00:00:00"/>
    <x v="5"/>
    <x v="0"/>
    <x v="4"/>
    <x v="0"/>
    <x v="18"/>
    <x v="3"/>
    <n v="1"/>
    <n v="10.99"/>
    <n v="10.99"/>
    <n v="4"/>
    <x v="0"/>
  </r>
  <r>
    <x v="739"/>
    <d v="2024-03-23T00:00:00"/>
    <x v="11"/>
    <x v="0"/>
    <x v="2"/>
    <x v="2"/>
    <x v="6"/>
    <x v="0"/>
    <n v="1"/>
    <n v="24.99"/>
    <n v="24.99"/>
    <n v="4"/>
    <x v="0"/>
  </r>
  <r>
    <x v="740"/>
    <d v="2024-07-06T00:00:00"/>
    <x v="0"/>
    <x v="0"/>
    <x v="1"/>
    <x v="2"/>
    <x v="19"/>
    <x v="0"/>
    <n v="1"/>
    <n v="17.989999999999998"/>
    <n v="17.989999999999998"/>
    <n v="5"/>
    <x v="0"/>
  </r>
  <r>
    <x v="741"/>
    <d v="2025-12-23T00:00:00"/>
    <x v="7"/>
    <x v="1"/>
    <x v="2"/>
    <x v="2"/>
    <x v="21"/>
    <x v="1"/>
    <n v="1"/>
    <n v="4.99"/>
    <n v="4.99"/>
    <n v="5"/>
    <x v="0"/>
  </r>
  <r>
    <x v="742"/>
    <d v="2024-01-20T00:00:00"/>
    <x v="9"/>
    <x v="0"/>
    <x v="7"/>
    <x v="2"/>
    <x v="18"/>
    <x v="3"/>
    <n v="1"/>
    <n v="10.99"/>
    <n v="10.99"/>
    <n v="3"/>
    <x v="0"/>
  </r>
  <r>
    <x v="743"/>
    <d v="2025-08-19T00:00:00"/>
    <x v="10"/>
    <x v="1"/>
    <x v="0"/>
    <x v="0"/>
    <x v="10"/>
    <x v="0"/>
    <n v="1"/>
    <n v="22.99"/>
    <n v="22.99"/>
    <n v="5"/>
    <x v="0"/>
  </r>
  <r>
    <x v="744"/>
    <d v="2025-04-20T00:00:00"/>
    <x v="2"/>
    <x v="1"/>
    <x v="8"/>
    <x v="2"/>
    <x v="21"/>
    <x v="1"/>
    <n v="1"/>
    <n v="4.99"/>
    <n v="4.99"/>
    <n v="3"/>
    <x v="0"/>
  </r>
  <r>
    <x v="745"/>
    <d v="2024-08-27T00:00:00"/>
    <x v="10"/>
    <x v="0"/>
    <x v="8"/>
    <x v="2"/>
    <x v="12"/>
    <x v="2"/>
    <n v="1"/>
    <n v="10.99"/>
    <n v="10.99"/>
    <n v="4"/>
    <x v="0"/>
  </r>
  <r>
    <x v="746"/>
    <d v="2025-09-20T00:00:00"/>
    <x v="1"/>
    <x v="1"/>
    <x v="2"/>
    <x v="2"/>
    <x v="5"/>
    <x v="0"/>
    <n v="2"/>
    <n v="16.989999999999998"/>
    <n v="33.979999999999997"/>
    <n v="2"/>
    <x v="1"/>
  </r>
  <r>
    <x v="747"/>
    <d v="2024-12-12T00:00:00"/>
    <x v="7"/>
    <x v="0"/>
    <x v="2"/>
    <x v="0"/>
    <x v="13"/>
    <x v="0"/>
    <n v="3"/>
    <n v="15.99"/>
    <n v="47.97"/>
    <n v="3"/>
    <x v="0"/>
  </r>
  <r>
    <x v="748"/>
    <d v="2025-02-23T00:00:00"/>
    <x v="8"/>
    <x v="1"/>
    <x v="0"/>
    <x v="1"/>
    <x v="12"/>
    <x v="2"/>
    <n v="1"/>
    <n v="10.99"/>
    <n v="10.99"/>
    <n v="3"/>
    <x v="0"/>
  </r>
  <r>
    <x v="749"/>
    <d v="2025-08-25T00:00:00"/>
    <x v="10"/>
    <x v="1"/>
    <x v="1"/>
    <x v="2"/>
    <x v="24"/>
    <x v="3"/>
    <n v="1"/>
    <n v="9.99"/>
    <n v="9.99"/>
    <n v="5"/>
    <x v="0"/>
  </r>
  <r>
    <x v="750"/>
    <d v="2025-01-04T00:00:00"/>
    <x v="9"/>
    <x v="1"/>
    <x v="5"/>
    <x v="2"/>
    <x v="17"/>
    <x v="0"/>
    <n v="1"/>
    <n v="14.99"/>
    <n v="14.99"/>
    <n v="1"/>
    <x v="1"/>
  </r>
  <r>
    <x v="751"/>
    <d v="2025-04-16T00:00:00"/>
    <x v="2"/>
    <x v="1"/>
    <x v="1"/>
    <x v="0"/>
    <x v="23"/>
    <x v="3"/>
    <n v="2"/>
    <n v="11.99"/>
    <n v="23.98"/>
    <n v="5"/>
    <x v="0"/>
  </r>
  <r>
    <x v="752"/>
    <d v="2024-09-25T00:00:00"/>
    <x v="1"/>
    <x v="0"/>
    <x v="8"/>
    <x v="2"/>
    <x v="2"/>
    <x v="2"/>
    <n v="3"/>
    <n v="8.99"/>
    <n v="26.97"/>
    <n v="5"/>
    <x v="0"/>
  </r>
  <r>
    <x v="753"/>
    <d v="2024-12-19T00:00:00"/>
    <x v="7"/>
    <x v="0"/>
    <x v="2"/>
    <x v="0"/>
    <x v="0"/>
    <x v="0"/>
    <n v="3"/>
    <n v="18.989999999999998"/>
    <n v="56.97"/>
    <n v="5"/>
    <x v="0"/>
  </r>
  <r>
    <x v="754"/>
    <d v="2025-12-01T00:00:00"/>
    <x v="7"/>
    <x v="1"/>
    <x v="5"/>
    <x v="2"/>
    <x v="19"/>
    <x v="0"/>
    <n v="1"/>
    <n v="17.989999999999998"/>
    <n v="17.989999999999998"/>
    <n v="5"/>
    <x v="0"/>
  </r>
  <r>
    <x v="755"/>
    <d v="2024-06-06T00:00:00"/>
    <x v="3"/>
    <x v="0"/>
    <x v="5"/>
    <x v="2"/>
    <x v="24"/>
    <x v="3"/>
    <n v="1"/>
    <n v="9.99"/>
    <n v="9.99"/>
    <n v="3"/>
    <x v="0"/>
  </r>
  <r>
    <x v="756"/>
    <d v="2025-09-12T00:00:00"/>
    <x v="1"/>
    <x v="1"/>
    <x v="3"/>
    <x v="0"/>
    <x v="17"/>
    <x v="0"/>
    <n v="2"/>
    <n v="14.99"/>
    <n v="29.98"/>
    <n v="4"/>
    <x v="0"/>
  </r>
  <r>
    <x v="757"/>
    <d v="2025-10-16T00:00:00"/>
    <x v="6"/>
    <x v="1"/>
    <x v="8"/>
    <x v="2"/>
    <x v="14"/>
    <x v="2"/>
    <n v="2"/>
    <n v="9.99"/>
    <n v="19.98"/>
    <n v="4"/>
    <x v="0"/>
  </r>
  <r>
    <x v="758"/>
    <d v="2024-02-02T00:00:00"/>
    <x v="8"/>
    <x v="0"/>
    <x v="1"/>
    <x v="0"/>
    <x v="21"/>
    <x v="1"/>
    <n v="1"/>
    <n v="4.99"/>
    <n v="4.99"/>
    <n v="5"/>
    <x v="0"/>
  </r>
  <r>
    <x v="759"/>
    <d v="2024-09-22T00:00:00"/>
    <x v="1"/>
    <x v="0"/>
    <x v="3"/>
    <x v="2"/>
    <x v="12"/>
    <x v="2"/>
    <n v="3"/>
    <n v="10.99"/>
    <n v="32.97"/>
    <n v="5"/>
    <x v="0"/>
  </r>
  <r>
    <x v="760"/>
    <d v="2024-08-29T00:00:00"/>
    <x v="10"/>
    <x v="0"/>
    <x v="2"/>
    <x v="0"/>
    <x v="7"/>
    <x v="2"/>
    <n v="3"/>
    <n v="12.99"/>
    <n v="38.97"/>
    <n v="4"/>
    <x v="0"/>
  </r>
  <r>
    <x v="761"/>
    <d v="2025-03-22T00:00:00"/>
    <x v="11"/>
    <x v="1"/>
    <x v="5"/>
    <x v="2"/>
    <x v="12"/>
    <x v="2"/>
    <n v="1"/>
    <n v="10.99"/>
    <n v="10.99"/>
    <n v="3"/>
    <x v="0"/>
  </r>
  <r>
    <x v="762"/>
    <d v="2025-07-21T00:00:00"/>
    <x v="0"/>
    <x v="1"/>
    <x v="9"/>
    <x v="2"/>
    <x v="19"/>
    <x v="0"/>
    <n v="1"/>
    <n v="17.989999999999998"/>
    <n v="17.989999999999998"/>
    <n v="4"/>
    <x v="0"/>
  </r>
  <r>
    <x v="763"/>
    <d v="2024-11-30T00:00:00"/>
    <x v="5"/>
    <x v="0"/>
    <x v="8"/>
    <x v="0"/>
    <x v="1"/>
    <x v="1"/>
    <n v="3"/>
    <n v="9.99"/>
    <n v="29.97"/>
    <n v="5"/>
    <x v="0"/>
  </r>
  <r>
    <x v="764"/>
    <d v="2024-12-04T00:00:00"/>
    <x v="7"/>
    <x v="0"/>
    <x v="3"/>
    <x v="1"/>
    <x v="13"/>
    <x v="0"/>
    <n v="1"/>
    <n v="15.99"/>
    <n v="15.99"/>
    <n v="4"/>
    <x v="0"/>
  </r>
  <r>
    <x v="765"/>
    <d v="2025-12-06T00:00:00"/>
    <x v="7"/>
    <x v="1"/>
    <x v="9"/>
    <x v="2"/>
    <x v="5"/>
    <x v="0"/>
    <n v="1"/>
    <n v="16.989999999999998"/>
    <n v="16.989999999999998"/>
    <n v="2"/>
    <x v="1"/>
  </r>
  <r>
    <x v="766"/>
    <d v="2024-02-12T00:00:00"/>
    <x v="8"/>
    <x v="0"/>
    <x v="0"/>
    <x v="2"/>
    <x v="21"/>
    <x v="1"/>
    <n v="1"/>
    <n v="4.99"/>
    <n v="4.99"/>
    <n v="4"/>
    <x v="0"/>
  </r>
  <r>
    <x v="767"/>
    <d v="2024-01-07T00:00:00"/>
    <x v="9"/>
    <x v="0"/>
    <x v="0"/>
    <x v="0"/>
    <x v="11"/>
    <x v="1"/>
    <n v="2"/>
    <n v="6.99"/>
    <n v="13.98"/>
    <n v="3"/>
    <x v="0"/>
  </r>
  <r>
    <x v="768"/>
    <d v="2025-08-29T00:00:00"/>
    <x v="10"/>
    <x v="1"/>
    <x v="8"/>
    <x v="2"/>
    <x v="10"/>
    <x v="0"/>
    <n v="2"/>
    <n v="22.99"/>
    <n v="45.98"/>
    <n v="3"/>
    <x v="0"/>
  </r>
  <r>
    <x v="769"/>
    <d v="2025-03-13T00:00:00"/>
    <x v="11"/>
    <x v="1"/>
    <x v="7"/>
    <x v="1"/>
    <x v="3"/>
    <x v="1"/>
    <n v="3"/>
    <n v="3.49"/>
    <n v="10.47"/>
    <n v="5"/>
    <x v="0"/>
  </r>
  <r>
    <x v="770"/>
    <d v="2024-04-21T00:00:00"/>
    <x v="2"/>
    <x v="0"/>
    <x v="1"/>
    <x v="2"/>
    <x v="10"/>
    <x v="0"/>
    <n v="2"/>
    <n v="22.99"/>
    <n v="45.98"/>
    <n v="5"/>
    <x v="0"/>
  </r>
  <r>
    <x v="771"/>
    <d v="2024-06-25T00:00:00"/>
    <x v="3"/>
    <x v="0"/>
    <x v="0"/>
    <x v="2"/>
    <x v="17"/>
    <x v="0"/>
    <n v="2"/>
    <n v="14.99"/>
    <n v="29.98"/>
    <n v="5"/>
    <x v="0"/>
  </r>
  <r>
    <x v="772"/>
    <d v="2025-04-07T00:00:00"/>
    <x v="2"/>
    <x v="1"/>
    <x v="5"/>
    <x v="2"/>
    <x v="0"/>
    <x v="0"/>
    <n v="1"/>
    <n v="18.989999999999998"/>
    <n v="18.989999999999998"/>
    <n v="3"/>
    <x v="0"/>
  </r>
  <r>
    <x v="773"/>
    <d v="2024-07-04T00:00:00"/>
    <x v="0"/>
    <x v="0"/>
    <x v="9"/>
    <x v="1"/>
    <x v="2"/>
    <x v="2"/>
    <n v="3"/>
    <n v="8.99"/>
    <n v="26.97"/>
    <n v="3"/>
    <x v="0"/>
  </r>
  <r>
    <x v="774"/>
    <d v="2025-08-02T00:00:00"/>
    <x v="10"/>
    <x v="1"/>
    <x v="5"/>
    <x v="0"/>
    <x v="15"/>
    <x v="3"/>
    <n v="2"/>
    <n v="7.99"/>
    <n v="15.98"/>
    <n v="5"/>
    <x v="0"/>
  </r>
  <r>
    <x v="775"/>
    <d v="2024-06-16T00:00:00"/>
    <x v="3"/>
    <x v="0"/>
    <x v="8"/>
    <x v="0"/>
    <x v="22"/>
    <x v="2"/>
    <n v="2"/>
    <n v="14.99"/>
    <n v="29.98"/>
    <n v="5"/>
    <x v="0"/>
  </r>
  <r>
    <x v="776"/>
    <d v="2025-12-10T00:00:00"/>
    <x v="7"/>
    <x v="1"/>
    <x v="8"/>
    <x v="2"/>
    <x v="10"/>
    <x v="0"/>
    <n v="2"/>
    <n v="22.99"/>
    <n v="45.98"/>
    <n v="3"/>
    <x v="0"/>
  </r>
  <r>
    <x v="777"/>
    <d v="2025-02-24T00:00:00"/>
    <x v="8"/>
    <x v="1"/>
    <x v="2"/>
    <x v="0"/>
    <x v="7"/>
    <x v="2"/>
    <n v="3"/>
    <n v="12.99"/>
    <n v="38.97"/>
    <n v="4"/>
    <x v="0"/>
  </r>
  <r>
    <x v="778"/>
    <d v="2025-08-28T00:00:00"/>
    <x v="10"/>
    <x v="1"/>
    <x v="4"/>
    <x v="2"/>
    <x v="13"/>
    <x v="0"/>
    <n v="1"/>
    <n v="15.99"/>
    <n v="15.99"/>
    <n v="4"/>
    <x v="0"/>
  </r>
  <r>
    <x v="779"/>
    <d v="2024-04-04T00:00:00"/>
    <x v="2"/>
    <x v="0"/>
    <x v="1"/>
    <x v="2"/>
    <x v="21"/>
    <x v="1"/>
    <n v="4"/>
    <n v="4.99"/>
    <n v="19.96"/>
    <n v="3"/>
    <x v="0"/>
  </r>
  <r>
    <x v="780"/>
    <d v="2025-05-09T00:00:00"/>
    <x v="4"/>
    <x v="1"/>
    <x v="2"/>
    <x v="2"/>
    <x v="0"/>
    <x v="0"/>
    <n v="2"/>
    <n v="18.989999999999998"/>
    <n v="37.979999999999997"/>
    <n v="3"/>
    <x v="0"/>
  </r>
  <r>
    <x v="781"/>
    <d v="2024-10-28T00:00:00"/>
    <x v="6"/>
    <x v="0"/>
    <x v="6"/>
    <x v="2"/>
    <x v="19"/>
    <x v="0"/>
    <n v="1"/>
    <n v="17.989999999999998"/>
    <n v="17.989999999999998"/>
    <n v="3"/>
    <x v="0"/>
  </r>
  <r>
    <x v="782"/>
    <d v="2024-04-10T00:00:00"/>
    <x v="2"/>
    <x v="0"/>
    <x v="4"/>
    <x v="2"/>
    <x v="22"/>
    <x v="2"/>
    <n v="2"/>
    <n v="14.99"/>
    <n v="29.98"/>
    <n v="4"/>
    <x v="0"/>
  </r>
  <r>
    <x v="783"/>
    <d v="2025-12-21T00:00:00"/>
    <x v="7"/>
    <x v="1"/>
    <x v="6"/>
    <x v="2"/>
    <x v="17"/>
    <x v="0"/>
    <n v="1"/>
    <n v="14.99"/>
    <n v="14.99"/>
    <n v="5"/>
    <x v="0"/>
  </r>
  <r>
    <x v="784"/>
    <d v="2024-05-27T00:00:00"/>
    <x v="4"/>
    <x v="0"/>
    <x v="5"/>
    <x v="0"/>
    <x v="17"/>
    <x v="0"/>
    <n v="2"/>
    <n v="14.99"/>
    <n v="29.98"/>
    <n v="3"/>
    <x v="0"/>
  </r>
  <r>
    <x v="785"/>
    <d v="2025-02-02T00:00:00"/>
    <x v="8"/>
    <x v="1"/>
    <x v="2"/>
    <x v="2"/>
    <x v="5"/>
    <x v="0"/>
    <n v="1"/>
    <n v="16.989999999999998"/>
    <n v="16.989999999999998"/>
    <n v="3"/>
    <x v="0"/>
  </r>
  <r>
    <x v="786"/>
    <d v="2024-01-04T00:00:00"/>
    <x v="9"/>
    <x v="0"/>
    <x v="2"/>
    <x v="0"/>
    <x v="16"/>
    <x v="3"/>
    <n v="2"/>
    <n v="8.99"/>
    <n v="17.98"/>
    <n v="3"/>
    <x v="0"/>
  </r>
  <r>
    <x v="787"/>
    <d v="2024-06-07T00:00:00"/>
    <x v="3"/>
    <x v="0"/>
    <x v="7"/>
    <x v="2"/>
    <x v="4"/>
    <x v="1"/>
    <n v="1"/>
    <n v="7.99"/>
    <n v="7.99"/>
    <n v="3"/>
    <x v="0"/>
  </r>
  <r>
    <x v="788"/>
    <d v="2024-05-07T00:00:00"/>
    <x v="4"/>
    <x v="0"/>
    <x v="0"/>
    <x v="1"/>
    <x v="17"/>
    <x v="0"/>
    <n v="1"/>
    <n v="14.99"/>
    <n v="14.99"/>
    <n v="4"/>
    <x v="0"/>
  </r>
  <r>
    <x v="789"/>
    <d v="2025-02-01T00:00:00"/>
    <x v="8"/>
    <x v="1"/>
    <x v="5"/>
    <x v="0"/>
    <x v="16"/>
    <x v="3"/>
    <n v="1"/>
    <n v="8.99"/>
    <n v="8.99"/>
    <n v="1"/>
    <x v="1"/>
  </r>
  <r>
    <x v="790"/>
    <d v="2024-09-09T00:00:00"/>
    <x v="1"/>
    <x v="0"/>
    <x v="0"/>
    <x v="2"/>
    <x v="19"/>
    <x v="0"/>
    <n v="3"/>
    <n v="17.989999999999998"/>
    <n v="53.97"/>
    <n v="3"/>
    <x v="0"/>
  </r>
  <r>
    <x v="791"/>
    <d v="2024-06-29T00:00:00"/>
    <x v="3"/>
    <x v="0"/>
    <x v="3"/>
    <x v="1"/>
    <x v="16"/>
    <x v="3"/>
    <n v="1"/>
    <n v="8.99"/>
    <n v="8.99"/>
    <n v="5"/>
    <x v="0"/>
  </r>
  <r>
    <x v="792"/>
    <d v="2025-06-22T00:00:00"/>
    <x v="3"/>
    <x v="1"/>
    <x v="8"/>
    <x v="2"/>
    <x v="8"/>
    <x v="2"/>
    <n v="1"/>
    <n v="11.99"/>
    <n v="11.99"/>
    <n v="5"/>
    <x v="0"/>
  </r>
  <r>
    <x v="793"/>
    <d v="2025-06-23T00:00:00"/>
    <x v="3"/>
    <x v="1"/>
    <x v="0"/>
    <x v="2"/>
    <x v="17"/>
    <x v="0"/>
    <n v="3"/>
    <n v="14.99"/>
    <n v="44.97"/>
    <n v="5"/>
    <x v="0"/>
  </r>
  <r>
    <x v="794"/>
    <d v="2024-09-01T00:00:00"/>
    <x v="1"/>
    <x v="0"/>
    <x v="3"/>
    <x v="1"/>
    <x v="5"/>
    <x v="0"/>
    <n v="1"/>
    <n v="16.989999999999998"/>
    <n v="16.989999999999998"/>
    <n v="5"/>
    <x v="0"/>
  </r>
  <r>
    <x v="795"/>
    <d v="2025-01-31T00:00:00"/>
    <x v="9"/>
    <x v="1"/>
    <x v="5"/>
    <x v="2"/>
    <x v="19"/>
    <x v="0"/>
    <n v="1"/>
    <n v="17.989999999999998"/>
    <n v="17.989999999999998"/>
    <n v="4"/>
    <x v="0"/>
  </r>
  <r>
    <x v="796"/>
    <d v="2025-09-15T00:00:00"/>
    <x v="1"/>
    <x v="1"/>
    <x v="4"/>
    <x v="1"/>
    <x v="12"/>
    <x v="2"/>
    <n v="4"/>
    <n v="10.99"/>
    <n v="43.96"/>
    <n v="3"/>
    <x v="0"/>
  </r>
  <r>
    <x v="797"/>
    <d v="2025-09-25T00:00:00"/>
    <x v="1"/>
    <x v="1"/>
    <x v="0"/>
    <x v="2"/>
    <x v="8"/>
    <x v="2"/>
    <n v="3"/>
    <n v="11.99"/>
    <n v="35.97"/>
    <n v="4"/>
    <x v="0"/>
  </r>
  <r>
    <x v="798"/>
    <d v="2024-08-06T00:00:00"/>
    <x v="10"/>
    <x v="0"/>
    <x v="7"/>
    <x v="0"/>
    <x v="0"/>
    <x v="0"/>
    <n v="1"/>
    <n v="18.989999999999998"/>
    <n v="18.989999999999998"/>
    <n v="5"/>
    <x v="0"/>
  </r>
  <r>
    <x v="799"/>
    <d v="2024-12-08T00:00:00"/>
    <x v="7"/>
    <x v="0"/>
    <x v="6"/>
    <x v="2"/>
    <x v="22"/>
    <x v="2"/>
    <n v="3"/>
    <n v="14.99"/>
    <n v="44.97"/>
    <n v="3"/>
    <x v="0"/>
  </r>
  <r>
    <x v="800"/>
    <d v="2024-03-15T00:00:00"/>
    <x v="11"/>
    <x v="0"/>
    <x v="7"/>
    <x v="1"/>
    <x v="18"/>
    <x v="3"/>
    <n v="2"/>
    <n v="10.99"/>
    <n v="21.98"/>
    <n v="4"/>
    <x v="0"/>
  </r>
  <r>
    <x v="801"/>
    <d v="2025-10-11T00:00:00"/>
    <x v="6"/>
    <x v="1"/>
    <x v="1"/>
    <x v="2"/>
    <x v="4"/>
    <x v="1"/>
    <n v="1"/>
    <n v="7.99"/>
    <n v="7.99"/>
    <n v="3"/>
    <x v="0"/>
  </r>
  <r>
    <x v="802"/>
    <d v="2024-04-14T00:00:00"/>
    <x v="2"/>
    <x v="0"/>
    <x v="1"/>
    <x v="0"/>
    <x v="4"/>
    <x v="1"/>
    <n v="3"/>
    <n v="7.99"/>
    <n v="23.97"/>
    <n v="4"/>
    <x v="0"/>
  </r>
  <r>
    <x v="803"/>
    <d v="2024-07-06T00:00:00"/>
    <x v="0"/>
    <x v="0"/>
    <x v="8"/>
    <x v="2"/>
    <x v="18"/>
    <x v="3"/>
    <n v="1"/>
    <n v="10.99"/>
    <n v="10.99"/>
    <n v="3"/>
    <x v="0"/>
  </r>
  <r>
    <x v="804"/>
    <d v="2024-11-29T00:00:00"/>
    <x v="5"/>
    <x v="0"/>
    <x v="0"/>
    <x v="2"/>
    <x v="15"/>
    <x v="3"/>
    <n v="1"/>
    <n v="7.99"/>
    <n v="7.99"/>
    <n v="3"/>
    <x v="0"/>
  </r>
  <r>
    <x v="805"/>
    <d v="2024-09-21T00:00:00"/>
    <x v="1"/>
    <x v="0"/>
    <x v="0"/>
    <x v="0"/>
    <x v="1"/>
    <x v="1"/>
    <n v="2"/>
    <n v="9.99"/>
    <n v="19.98"/>
    <n v="2"/>
    <x v="1"/>
  </r>
  <r>
    <x v="806"/>
    <d v="2025-06-07T00:00:00"/>
    <x v="3"/>
    <x v="1"/>
    <x v="2"/>
    <x v="2"/>
    <x v="16"/>
    <x v="3"/>
    <n v="4"/>
    <n v="8.99"/>
    <n v="35.96"/>
    <n v="4"/>
    <x v="0"/>
  </r>
  <r>
    <x v="807"/>
    <d v="2024-06-27T00:00:00"/>
    <x v="3"/>
    <x v="0"/>
    <x v="1"/>
    <x v="1"/>
    <x v="17"/>
    <x v="0"/>
    <n v="2"/>
    <n v="14.99"/>
    <n v="29.98"/>
    <n v="4"/>
    <x v="0"/>
  </r>
  <r>
    <x v="808"/>
    <d v="2024-09-04T00:00:00"/>
    <x v="1"/>
    <x v="0"/>
    <x v="0"/>
    <x v="2"/>
    <x v="9"/>
    <x v="0"/>
    <n v="1"/>
    <n v="32.99"/>
    <n v="32.99"/>
    <n v="5"/>
    <x v="0"/>
  </r>
  <r>
    <x v="809"/>
    <d v="2025-12-26T00:00:00"/>
    <x v="7"/>
    <x v="1"/>
    <x v="7"/>
    <x v="0"/>
    <x v="14"/>
    <x v="2"/>
    <n v="2"/>
    <n v="9.99"/>
    <n v="19.98"/>
    <n v="5"/>
    <x v="0"/>
  </r>
  <r>
    <x v="810"/>
    <d v="2025-08-05T00:00:00"/>
    <x v="10"/>
    <x v="1"/>
    <x v="1"/>
    <x v="1"/>
    <x v="5"/>
    <x v="0"/>
    <n v="3"/>
    <n v="16.989999999999998"/>
    <n v="50.97"/>
    <n v="5"/>
    <x v="0"/>
  </r>
  <r>
    <x v="811"/>
    <d v="2024-11-10T00:00:00"/>
    <x v="5"/>
    <x v="0"/>
    <x v="9"/>
    <x v="0"/>
    <x v="7"/>
    <x v="2"/>
    <n v="3"/>
    <n v="12.99"/>
    <n v="38.97"/>
    <n v="5"/>
    <x v="0"/>
  </r>
  <r>
    <x v="812"/>
    <d v="2025-10-19T00:00:00"/>
    <x v="6"/>
    <x v="1"/>
    <x v="7"/>
    <x v="0"/>
    <x v="3"/>
    <x v="1"/>
    <n v="1"/>
    <n v="3.49"/>
    <n v="3.49"/>
    <n v="3"/>
    <x v="0"/>
  </r>
  <r>
    <x v="813"/>
    <d v="2024-06-28T00:00:00"/>
    <x v="3"/>
    <x v="0"/>
    <x v="2"/>
    <x v="0"/>
    <x v="5"/>
    <x v="0"/>
    <n v="2"/>
    <n v="16.989999999999998"/>
    <n v="33.979999999999997"/>
    <n v="4"/>
    <x v="0"/>
  </r>
  <r>
    <x v="814"/>
    <d v="2025-11-04T00:00:00"/>
    <x v="5"/>
    <x v="1"/>
    <x v="1"/>
    <x v="2"/>
    <x v="17"/>
    <x v="0"/>
    <n v="1"/>
    <n v="14.99"/>
    <n v="14.99"/>
    <n v="5"/>
    <x v="0"/>
  </r>
  <r>
    <x v="815"/>
    <d v="2025-10-24T00:00:00"/>
    <x v="6"/>
    <x v="1"/>
    <x v="5"/>
    <x v="2"/>
    <x v="13"/>
    <x v="0"/>
    <n v="2"/>
    <n v="15.99"/>
    <n v="31.98"/>
    <n v="5"/>
    <x v="0"/>
  </r>
  <r>
    <x v="816"/>
    <d v="2024-04-18T00:00:00"/>
    <x v="2"/>
    <x v="0"/>
    <x v="6"/>
    <x v="0"/>
    <x v="6"/>
    <x v="0"/>
    <n v="1"/>
    <n v="24.99"/>
    <n v="24.99"/>
    <n v="4"/>
    <x v="0"/>
  </r>
  <r>
    <x v="817"/>
    <d v="2025-09-06T00:00:00"/>
    <x v="1"/>
    <x v="1"/>
    <x v="4"/>
    <x v="2"/>
    <x v="19"/>
    <x v="0"/>
    <n v="2"/>
    <n v="17.989999999999998"/>
    <n v="35.979999999999997"/>
    <n v="4"/>
    <x v="0"/>
  </r>
  <r>
    <x v="818"/>
    <d v="2025-03-28T00:00:00"/>
    <x v="11"/>
    <x v="1"/>
    <x v="1"/>
    <x v="1"/>
    <x v="4"/>
    <x v="1"/>
    <n v="2"/>
    <n v="7.99"/>
    <n v="15.98"/>
    <n v="4"/>
    <x v="0"/>
  </r>
  <r>
    <x v="819"/>
    <d v="2024-10-26T00:00:00"/>
    <x v="6"/>
    <x v="0"/>
    <x v="4"/>
    <x v="0"/>
    <x v="5"/>
    <x v="0"/>
    <n v="3"/>
    <n v="16.989999999999998"/>
    <n v="50.97"/>
    <n v="5"/>
    <x v="0"/>
  </r>
  <r>
    <x v="820"/>
    <d v="2025-04-06T00:00:00"/>
    <x v="2"/>
    <x v="1"/>
    <x v="4"/>
    <x v="0"/>
    <x v="19"/>
    <x v="0"/>
    <n v="1"/>
    <n v="17.989999999999998"/>
    <n v="17.989999999999998"/>
    <n v="3"/>
    <x v="0"/>
  </r>
  <r>
    <x v="821"/>
    <d v="2024-12-17T00:00:00"/>
    <x v="7"/>
    <x v="0"/>
    <x v="8"/>
    <x v="0"/>
    <x v="19"/>
    <x v="0"/>
    <n v="1"/>
    <n v="17.989999999999998"/>
    <n v="17.989999999999998"/>
    <n v="4"/>
    <x v="0"/>
  </r>
  <r>
    <x v="822"/>
    <d v="2025-01-31T00:00:00"/>
    <x v="9"/>
    <x v="1"/>
    <x v="4"/>
    <x v="2"/>
    <x v="6"/>
    <x v="0"/>
    <n v="2"/>
    <n v="24.99"/>
    <n v="49.98"/>
    <n v="5"/>
    <x v="0"/>
  </r>
  <r>
    <x v="823"/>
    <d v="2025-01-19T00:00:00"/>
    <x v="9"/>
    <x v="1"/>
    <x v="1"/>
    <x v="2"/>
    <x v="21"/>
    <x v="1"/>
    <n v="2"/>
    <n v="4.99"/>
    <n v="9.98"/>
    <n v="3"/>
    <x v="0"/>
  </r>
  <r>
    <x v="824"/>
    <d v="2024-02-03T00:00:00"/>
    <x v="8"/>
    <x v="0"/>
    <x v="5"/>
    <x v="1"/>
    <x v="10"/>
    <x v="0"/>
    <n v="2"/>
    <n v="22.99"/>
    <n v="45.98"/>
    <n v="4"/>
    <x v="0"/>
  </r>
  <r>
    <x v="825"/>
    <d v="2024-11-11T00:00:00"/>
    <x v="5"/>
    <x v="0"/>
    <x v="1"/>
    <x v="2"/>
    <x v="0"/>
    <x v="0"/>
    <n v="2"/>
    <n v="18.989999999999998"/>
    <n v="37.979999999999997"/>
    <n v="4"/>
    <x v="0"/>
  </r>
  <r>
    <x v="826"/>
    <d v="2024-02-06T00:00:00"/>
    <x v="8"/>
    <x v="0"/>
    <x v="7"/>
    <x v="0"/>
    <x v="8"/>
    <x v="2"/>
    <n v="3"/>
    <n v="11.99"/>
    <n v="35.97"/>
    <n v="4"/>
    <x v="0"/>
  </r>
  <r>
    <x v="827"/>
    <d v="2024-03-24T00:00:00"/>
    <x v="11"/>
    <x v="0"/>
    <x v="6"/>
    <x v="0"/>
    <x v="3"/>
    <x v="1"/>
    <n v="1"/>
    <n v="3.49"/>
    <n v="3.49"/>
    <n v="5"/>
    <x v="0"/>
  </r>
  <r>
    <x v="828"/>
    <d v="2024-09-06T00:00:00"/>
    <x v="1"/>
    <x v="0"/>
    <x v="9"/>
    <x v="2"/>
    <x v="16"/>
    <x v="3"/>
    <n v="1"/>
    <n v="8.99"/>
    <n v="8.99"/>
    <n v="4"/>
    <x v="0"/>
  </r>
  <r>
    <x v="829"/>
    <d v="2024-11-12T00:00:00"/>
    <x v="5"/>
    <x v="0"/>
    <x v="6"/>
    <x v="2"/>
    <x v="14"/>
    <x v="2"/>
    <n v="2"/>
    <n v="9.99"/>
    <n v="19.98"/>
    <n v="5"/>
    <x v="0"/>
  </r>
  <r>
    <x v="830"/>
    <d v="2025-06-01T00:00:00"/>
    <x v="3"/>
    <x v="1"/>
    <x v="5"/>
    <x v="0"/>
    <x v="10"/>
    <x v="0"/>
    <n v="2"/>
    <n v="22.99"/>
    <n v="45.98"/>
    <n v="3"/>
    <x v="0"/>
  </r>
  <r>
    <x v="831"/>
    <d v="2024-03-15T00:00:00"/>
    <x v="11"/>
    <x v="0"/>
    <x v="7"/>
    <x v="0"/>
    <x v="2"/>
    <x v="2"/>
    <n v="2"/>
    <n v="8.99"/>
    <n v="17.98"/>
    <n v="4"/>
    <x v="0"/>
  </r>
  <r>
    <x v="832"/>
    <d v="2025-11-24T00:00:00"/>
    <x v="5"/>
    <x v="1"/>
    <x v="4"/>
    <x v="0"/>
    <x v="12"/>
    <x v="2"/>
    <n v="2"/>
    <n v="10.99"/>
    <n v="21.98"/>
    <n v="3"/>
    <x v="0"/>
  </r>
  <r>
    <x v="833"/>
    <d v="2025-09-23T00:00:00"/>
    <x v="1"/>
    <x v="1"/>
    <x v="1"/>
    <x v="0"/>
    <x v="13"/>
    <x v="0"/>
    <n v="2"/>
    <n v="15.99"/>
    <n v="31.98"/>
    <n v="4"/>
    <x v="0"/>
  </r>
  <r>
    <x v="834"/>
    <d v="2024-12-31T00:00:00"/>
    <x v="7"/>
    <x v="0"/>
    <x v="3"/>
    <x v="2"/>
    <x v="9"/>
    <x v="0"/>
    <n v="1"/>
    <n v="32.99"/>
    <n v="32.99"/>
    <n v="4"/>
    <x v="0"/>
  </r>
  <r>
    <x v="835"/>
    <d v="2024-11-14T00:00:00"/>
    <x v="5"/>
    <x v="0"/>
    <x v="6"/>
    <x v="1"/>
    <x v="13"/>
    <x v="0"/>
    <n v="2"/>
    <n v="15.99"/>
    <n v="31.98"/>
    <n v="5"/>
    <x v="0"/>
  </r>
  <r>
    <x v="836"/>
    <d v="2025-09-28T00:00:00"/>
    <x v="1"/>
    <x v="1"/>
    <x v="9"/>
    <x v="2"/>
    <x v="19"/>
    <x v="0"/>
    <n v="1"/>
    <n v="17.989999999999998"/>
    <n v="17.989999999999998"/>
    <n v="5"/>
    <x v="0"/>
  </r>
  <r>
    <x v="837"/>
    <d v="2025-01-22T00:00:00"/>
    <x v="9"/>
    <x v="1"/>
    <x v="2"/>
    <x v="0"/>
    <x v="24"/>
    <x v="3"/>
    <n v="1"/>
    <n v="9.99"/>
    <n v="9.99"/>
    <n v="3"/>
    <x v="0"/>
  </r>
  <r>
    <x v="838"/>
    <d v="2025-06-14T00:00:00"/>
    <x v="3"/>
    <x v="1"/>
    <x v="5"/>
    <x v="0"/>
    <x v="11"/>
    <x v="1"/>
    <n v="2"/>
    <n v="6.99"/>
    <n v="13.98"/>
    <n v="4"/>
    <x v="0"/>
  </r>
  <r>
    <x v="839"/>
    <d v="2025-10-07T00:00:00"/>
    <x v="6"/>
    <x v="1"/>
    <x v="3"/>
    <x v="2"/>
    <x v="9"/>
    <x v="0"/>
    <n v="3"/>
    <n v="32.99"/>
    <n v="98.97"/>
    <n v="4"/>
    <x v="0"/>
  </r>
  <r>
    <x v="840"/>
    <d v="2024-02-06T00:00:00"/>
    <x v="8"/>
    <x v="0"/>
    <x v="1"/>
    <x v="2"/>
    <x v="2"/>
    <x v="2"/>
    <n v="1"/>
    <n v="8.99"/>
    <n v="8.99"/>
    <n v="4"/>
    <x v="0"/>
  </r>
  <r>
    <x v="841"/>
    <d v="2025-01-05T00:00:00"/>
    <x v="9"/>
    <x v="1"/>
    <x v="1"/>
    <x v="0"/>
    <x v="22"/>
    <x v="2"/>
    <n v="2"/>
    <n v="14.99"/>
    <n v="29.98"/>
    <n v="4"/>
    <x v="0"/>
  </r>
  <r>
    <x v="842"/>
    <d v="2025-06-25T00:00:00"/>
    <x v="3"/>
    <x v="1"/>
    <x v="5"/>
    <x v="0"/>
    <x v="6"/>
    <x v="0"/>
    <n v="1"/>
    <n v="24.99"/>
    <n v="24.99"/>
    <n v="3"/>
    <x v="0"/>
  </r>
  <r>
    <x v="843"/>
    <d v="2025-07-01T00:00:00"/>
    <x v="0"/>
    <x v="1"/>
    <x v="3"/>
    <x v="0"/>
    <x v="7"/>
    <x v="2"/>
    <n v="1"/>
    <n v="12.99"/>
    <n v="12.99"/>
    <n v="3"/>
    <x v="0"/>
  </r>
  <r>
    <x v="844"/>
    <d v="2024-06-07T00:00:00"/>
    <x v="3"/>
    <x v="0"/>
    <x v="7"/>
    <x v="0"/>
    <x v="13"/>
    <x v="0"/>
    <n v="2"/>
    <n v="15.99"/>
    <n v="31.98"/>
    <n v="4"/>
    <x v="0"/>
  </r>
  <r>
    <x v="845"/>
    <d v="2024-08-20T00:00:00"/>
    <x v="10"/>
    <x v="0"/>
    <x v="7"/>
    <x v="0"/>
    <x v="8"/>
    <x v="2"/>
    <n v="2"/>
    <n v="11.99"/>
    <n v="23.98"/>
    <n v="4"/>
    <x v="0"/>
  </r>
  <r>
    <x v="846"/>
    <d v="2025-09-22T00:00:00"/>
    <x v="1"/>
    <x v="1"/>
    <x v="2"/>
    <x v="2"/>
    <x v="21"/>
    <x v="1"/>
    <n v="2"/>
    <n v="4.99"/>
    <n v="9.98"/>
    <n v="4"/>
    <x v="0"/>
  </r>
  <r>
    <x v="847"/>
    <d v="2024-05-26T00:00:00"/>
    <x v="4"/>
    <x v="0"/>
    <x v="3"/>
    <x v="0"/>
    <x v="3"/>
    <x v="1"/>
    <n v="3"/>
    <n v="3.49"/>
    <n v="10.47"/>
    <n v="4"/>
    <x v="0"/>
  </r>
  <r>
    <x v="848"/>
    <d v="2024-03-04T00:00:00"/>
    <x v="11"/>
    <x v="0"/>
    <x v="4"/>
    <x v="2"/>
    <x v="0"/>
    <x v="0"/>
    <n v="2"/>
    <n v="18.989999999999998"/>
    <n v="37.979999999999997"/>
    <n v="3"/>
    <x v="0"/>
  </r>
  <r>
    <x v="849"/>
    <d v="2025-09-11T00:00:00"/>
    <x v="1"/>
    <x v="1"/>
    <x v="0"/>
    <x v="0"/>
    <x v="10"/>
    <x v="0"/>
    <n v="2"/>
    <n v="22.99"/>
    <n v="45.98"/>
    <n v="3"/>
    <x v="0"/>
  </r>
  <r>
    <x v="850"/>
    <d v="2025-09-01T00:00:00"/>
    <x v="1"/>
    <x v="1"/>
    <x v="9"/>
    <x v="1"/>
    <x v="18"/>
    <x v="3"/>
    <n v="2"/>
    <n v="10.99"/>
    <n v="21.98"/>
    <n v="4"/>
    <x v="0"/>
  </r>
  <r>
    <x v="851"/>
    <d v="2025-08-21T00:00:00"/>
    <x v="10"/>
    <x v="1"/>
    <x v="6"/>
    <x v="0"/>
    <x v="13"/>
    <x v="0"/>
    <n v="1"/>
    <n v="15.99"/>
    <n v="15.99"/>
    <n v="4"/>
    <x v="0"/>
  </r>
  <r>
    <x v="852"/>
    <d v="2024-06-04T00:00:00"/>
    <x v="3"/>
    <x v="0"/>
    <x v="9"/>
    <x v="0"/>
    <x v="13"/>
    <x v="0"/>
    <n v="3"/>
    <n v="15.99"/>
    <n v="47.97"/>
    <n v="4"/>
    <x v="0"/>
  </r>
  <r>
    <x v="853"/>
    <d v="2025-03-17T00:00:00"/>
    <x v="11"/>
    <x v="1"/>
    <x v="6"/>
    <x v="2"/>
    <x v="10"/>
    <x v="0"/>
    <n v="4"/>
    <n v="22.99"/>
    <n v="91.96"/>
    <n v="4"/>
    <x v="0"/>
  </r>
  <r>
    <x v="854"/>
    <d v="2024-04-08T00:00:00"/>
    <x v="2"/>
    <x v="0"/>
    <x v="1"/>
    <x v="2"/>
    <x v="16"/>
    <x v="3"/>
    <n v="2"/>
    <n v="8.99"/>
    <n v="17.98"/>
    <n v="4"/>
    <x v="0"/>
  </r>
  <r>
    <x v="855"/>
    <d v="2025-05-31T00:00:00"/>
    <x v="4"/>
    <x v="1"/>
    <x v="5"/>
    <x v="2"/>
    <x v="3"/>
    <x v="1"/>
    <n v="2"/>
    <n v="3.49"/>
    <n v="6.98"/>
    <n v="2"/>
    <x v="1"/>
  </r>
  <r>
    <x v="856"/>
    <d v="2024-09-05T00:00:00"/>
    <x v="1"/>
    <x v="0"/>
    <x v="9"/>
    <x v="2"/>
    <x v="13"/>
    <x v="0"/>
    <n v="1"/>
    <n v="15.99"/>
    <n v="15.99"/>
    <n v="4"/>
    <x v="0"/>
  </r>
  <r>
    <x v="857"/>
    <d v="2025-12-19T00:00:00"/>
    <x v="7"/>
    <x v="1"/>
    <x v="1"/>
    <x v="0"/>
    <x v="12"/>
    <x v="2"/>
    <n v="1"/>
    <n v="10.99"/>
    <n v="10.99"/>
    <n v="4"/>
    <x v="0"/>
  </r>
  <r>
    <x v="858"/>
    <d v="2025-10-24T00:00:00"/>
    <x v="6"/>
    <x v="1"/>
    <x v="6"/>
    <x v="0"/>
    <x v="13"/>
    <x v="0"/>
    <n v="1"/>
    <n v="15.99"/>
    <n v="15.99"/>
    <n v="5"/>
    <x v="0"/>
  </r>
  <r>
    <x v="859"/>
    <d v="2025-01-26T00:00:00"/>
    <x v="9"/>
    <x v="1"/>
    <x v="3"/>
    <x v="2"/>
    <x v="17"/>
    <x v="0"/>
    <n v="1"/>
    <n v="14.99"/>
    <n v="14.99"/>
    <n v="3"/>
    <x v="0"/>
  </r>
  <r>
    <x v="860"/>
    <d v="2025-01-19T00:00:00"/>
    <x v="9"/>
    <x v="1"/>
    <x v="4"/>
    <x v="0"/>
    <x v="13"/>
    <x v="0"/>
    <n v="4"/>
    <n v="15.99"/>
    <n v="63.96"/>
    <n v="4"/>
    <x v="0"/>
  </r>
  <r>
    <x v="861"/>
    <d v="2025-07-26T00:00:00"/>
    <x v="0"/>
    <x v="1"/>
    <x v="1"/>
    <x v="1"/>
    <x v="1"/>
    <x v="1"/>
    <n v="1"/>
    <n v="9.99"/>
    <n v="9.99"/>
    <n v="4"/>
    <x v="0"/>
  </r>
  <r>
    <x v="862"/>
    <d v="2024-06-29T00:00:00"/>
    <x v="3"/>
    <x v="0"/>
    <x v="0"/>
    <x v="2"/>
    <x v="6"/>
    <x v="0"/>
    <n v="3"/>
    <n v="24.99"/>
    <n v="74.97"/>
    <n v="3"/>
    <x v="0"/>
  </r>
  <r>
    <x v="863"/>
    <d v="2025-09-07T00:00:00"/>
    <x v="1"/>
    <x v="1"/>
    <x v="6"/>
    <x v="2"/>
    <x v="17"/>
    <x v="0"/>
    <n v="2"/>
    <n v="14.99"/>
    <n v="29.98"/>
    <n v="4"/>
    <x v="0"/>
  </r>
  <r>
    <x v="864"/>
    <d v="2024-11-08T00:00:00"/>
    <x v="5"/>
    <x v="0"/>
    <x v="0"/>
    <x v="1"/>
    <x v="0"/>
    <x v="0"/>
    <n v="1"/>
    <n v="18.989999999999998"/>
    <n v="18.989999999999998"/>
    <n v="4"/>
    <x v="0"/>
  </r>
  <r>
    <x v="865"/>
    <d v="2025-01-06T00:00:00"/>
    <x v="9"/>
    <x v="1"/>
    <x v="7"/>
    <x v="2"/>
    <x v="1"/>
    <x v="1"/>
    <n v="2"/>
    <n v="9.99"/>
    <n v="19.98"/>
    <n v="3"/>
    <x v="0"/>
  </r>
  <r>
    <x v="866"/>
    <d v="2025-02-14T00:00:00"/>
    <x v="8"/>
    <x v="1"/>
    <x v="8"/>
    <x v="0"/>
    <x v="17"/>
    <x v="0"/>
    <n v="1"/>
    <n v="14.99"/>
    <n v="14.99"/>
    <n v="5"/>
    <x v="0"/>
  </r>
  <r>
    <x v="867"/>
    <d v="2025-05-20T00:00:00"/>
    <x v="4"/>
    <x v="1"/>
    <x v="5"/>
    <x v="2"/>
    <x v="13"/>
    <x v="0"/>
    <n v="2"/>
    <n v="15.99"/>
    <n v="31.98"/>
    <n v="4"/>
    <x v="0"/>
  </r>
  <r>
    <x v="868"/>
    <d v="2024-11-01T00:00:00"/>
    <x v="5"/>
    <x v="0"/>
    <x v="1"/>
    <x v="1"/>
    <x v="11"/>
    <x v="1"/>
    <n v="1"/>
    <n v="6.99"/>
    <n v="6.99"/>
    <n v="3"/>
    <x v="0"/>
  </r>
  <r>
    <x v="869"/>
    <d v="2025-12-07T00:00:00"/>
    <x v="7"/>
    <x v="1"/>
    <x v="1"/>
    <x v="0"/>
    <x v="0"/>
    <x v="0"/>
    <n v="2"/>
    <n v="18.989999999999998"/>
    <n v="37.979999999999997"/>
    <n v="3"/>
    <x v="0"/>
  </r>
  <r>
    <x v="870"/>
    <d v="2025-10-29T00:00:00"/>
    <x v="6"/>
    <x v="1"/>
    <x v="6"/>
    <x v="0"/>
    <x v="5"/>
    <x v="0"/>
    <n v="1"/>
    <n v="16.989999999999998"/>
    <n v="16.989999999999998"/>
    <n v="4"/>
    <x v="0"/>
  </r>
  <r>
    <x v="871"/>
    <d v="2024-12-21T00:00:00"/>
    <x v="7"/>
    <x v="0"/>
    <x v="4"/>
    <x v="0"/>
    <x v="22"/>
    <x v="2"/>
    <n v="2"/>
    <n v="14.99"/>
    <n v="29.98"/>
    <n v="4"/>
    <x v="0"/>
  </r>
  <r>
    <x v="872"/>
    <d v="2025-07-05T00:00:00"/>
    <x v="0"/>
    <x v="1"/>
    <x v="9"/>
    <x v="0"/>
    <x v="14"/>
    <x v="2"/>
    <n v="2"/>
    <n v="9.99"/>
    <n v="19.98"/>
    <n v="5"/>
    <x v="0"/>
  </r>
  <r>
    <x v="873"/>
    <d v="2025-06-16T00:00:00"/>
    <x v="3"/>
    <x v="1"/>
    <x v="4"/>
    <x v="2"/>
    <x v="4"/>
    <x v="1"/>
    <n v="1"/>
    <n v="7.99"/>
    <n v="7.99"/>
    <n v="3"/>
    <x v="0"/>
  </r>
  <r>
    <x v="874"/>
    <d v="2024-09-08T00:00:00"/>
    <x v="1"/>
    <x v="0"/>
    <x v="4"/>
    <x v="1"/>
    <x v="0"/>
    <x v="0"/>
    <n v="3"/>
    <n v="18.989999999999998"/>
    <n v="56.97"/>
    <n v="4"/>
    <x v="0"/>
  </r>
  <r>
    <x v="875"/>
    <d v="2024-08-11T00:00:00"/>
    <x v="10"/>
    <x v="0"/>
    <x v="8"/>
    <x v="2"/>
    <x v="0"/>
    <x v="0"/>
    <n v="1"/>
    <n v="18.989999999999998"/>
    <n v="18.989999999999998"/>
    <n v="5"/>
    <x v="0"/>
  </r>
  <r>
    <x v="876"/>
    <d v="2024-10-16T00:00:00"/>
    <x v="6"/>
    <x v="0"/>
    <x v="2"/>
    <x v="0"/>
    <x v="10"/>
    <x v="0"/>
    <n v="3"/>
    <n v="22.99"/>
    <n v="68.97"/>
    <n v="5"/>
    <x v="0"/>
  </r>
  <r>
    <x v="877"/>
    <d v="2025-01-13T00:00:00"/>
    <x v="9"/>
    <x v="1"/>
    <x v="5"/>
    <x v="0"/>
    <x v="21"/>
    <x v="1"/>
    <n v="2"/>
    <n v="4.99"/>
    <n v="9.98"/>
    <n v="2"/>
    <x v="1"/>
  </r>
  <r>
    <x v="878"/>
    <d v="2024-10-27T00:00:00"/>
    <x v="6"/>
    <x v="0"/>
    <x v="9"/>
    <x v="2"/>
    <x v="21"/>
    <x v="1"/>
    <n v="2"/>
    <n v="4.99"/>
    <n v="9.98"/>
    <n v="4"/>
    <x v="0"/>
  </r>
  <r>
    <x v="879"/>
    <d v="2024-03-20T00:00:00"/>
    <x v="11"/>
    <x v="0"/>
    <x v="6"/>
    <x v="2"/>
    <x v="8"/>
    <x v="2"/>
    <n v="2"/>
    <n v="11.99"/>
    <n v="23.98"/>
    <n v="4"/>
    <x v="0"/>
  </r>
  <r>
    <x v="880"/>
    <d v="2025-10-11T00:00:00"/>
    <x v="6"/>
    <x v="1"/>
    <x v="4"/>
    <x v="2"/>
    <x v="2"/>
    <x v="2"/>
    <n v="1"/>
    <n v="8.99"/>
    <n v="8.99"/>
    <n v="4"/>
    <x v="0"/>
  </r>
  <r>
    <x v="881"/>
    <d v="2025-04-20T00:00:00"/>
    <x v="2"/>
    <x v="1"/>
    <x v="0"/>
    <x v="0"/>
    <x v="5"/>
    <x v="0"/>
    <n v="2"/>
    <n v="16.989999999999998"/>
    <n v="33.979999999999997"/>
    <n v="5"/>
    <x v="0"/>
  </r>
  <r>
    <x v="882"/>
    <d v="2024-06-02T00:00:00"/>
    <x v="3"/>
    <x v="0"/>
    <x v="3"/>
    <x v="2"/>
    <x v="12"/>
    <x v="2"/>
    <n v="4"/>
    <n v="10.99"/>
    <n v="43.96"/>
    <n v="4"/>
    <x v="0"/>
  </r>
  <r>
    <x v="883"/>
    <d v="2025-09-13T00:00:00"/>
    <x v="1"/>
    <x v="1"/>
    <x v="9"/>
    <x v="1"/>
    <x v="9"/>
    <x v="0"/>
    <n v="3"/>
    <n v="32.99"/>
    <n v="98.97"/>
    <n v="3"/>
    <x v="0"/>
  </r>
  <r>
    <x v="884"/>
    <d v="2024-12-12T00:00:00"/>
    <x v="7"/>
    <x v="0"/>
    <x v="9"/>
    <x v="1"/>
    <x v="10"/>
    <x v="0"/>
    <n v="1"/>
    <n v="22.99"/>
    <n v="22.99"/>
    <n v="5"/>
    <x v="0"/>
  </r>
  <r>
    <x v="885"/>
    <d v="2024-01-19T00:00:00"/>
    <x v="9"/>
    <x v="0"/>
    <x v="5"/>
    <x v="2"/>
    <x v="2"/>
    <x v="2"/>
    <n v="2"/>
    <n v="8.99"/>
    <n v="17.98"/>
    <n v="2"/>
    <x v="1"/>
  </r>
  <r>
    <x v="886"/>
    <d v="2024-12-11T00:00:00"/>
    <x v="7"/>
    <x v="0"/>
    <x v="9"/>
    <x v="2"/>
    <x v="14"/>
    <x v="2"/>
    <n v="1"/>
    <n v="9.99"/>
    <n v="9.99"/>
    <n v="5"/>
    <x v="0"/>
  </r>
  <r>
    <x v="887"/>
    <d v="2025-05-28T00:00:00"/>
    <x v="4"/>
    <x v="1"/>
    <x v="7"/>
    <x v="2"/>
    <x v="22"/>
    <x v="2"/>
    <n v="1"/>
    <n v="14.99"/>
    <n v="14.99"/>
    <n v="5"/>
    <x v="0"/>
  </r>
  <r>
    <x v="888"/>
    <d v="2025-08-28T00:00:00"/>
    <x v="10"/>
    <x v="1"/>
    <x v="0"/>
    <x v="2"/>
    <x v="10"/>
    <x v="0"/>
    <n v="1"/>
    <n v="22.99"/>
    <n v="22.99"/>
    <n v="3"/>
    <x v="0"/>
  </r>
  <r>
    <x v="889"/>
    <d v="2024-03-09T00:00:00"/>
    <x v="11"/>
    <x v="0"/>
    <x v="5"/>
    <x v="0"/>
    <x v="19"/>
    <x v="0"/>
    <n v="1"/>
    <n v="17.989999999999998"/>
    <n v="17.989999999999998"/>
    <n v="2"/>
    <x v="1"/>
  </r>
  <r>
    <x v="890"/>
    <d v="2025-01-05T00:00:00"/>
    <x v="9"/>
    <x v="1"/>
    <x v="4"/>
    <x v="2"/>
    <x v="3"/>
    <x v="1"/>
    <n v="1"/>
    <n v="3.49"/>
    <n v="3.49"/>
    <n v="4"/>
    <x v="0"/>
  </r>
  <r>
    <x v="891"/>
    <d v="2024-08-09T00:00:00"/>
    <x v="10"/>
    <x v="0"/>
    <x v="8"/>
    <x v="0"/>
    <x v="24"/>
    <x v="3"/>
    <n v="3"/>
    <n v="9.99"/>
    <n v="29.97"/>
    <n v="5"/>
    <x v="0"/>
  </r>
  <r>
    <x v="892"/>
    <d v="2025-10-25T00:00:00"/>
    <x v="6"/>
    <x v="1"/>
    <x v="9"/>
    <x v="2"/>
    <x v="14"/>
    <x v="2"/>
    <n v="2"/>
    <n v="9.99"/>
    <n v="19.98"/>
    <n v="3"/>
    <x v="0"/>
  </r>
  <r>
    <x v="893"/>
    <d v="2025-05-29T00:00:00"/>
    <x v="4"/>
    <x v="1"/>
    <x v="5"/>
    <x v="0"/>
    <x v="5"/>
    <x v="0"/>
    <n v="1"/>
    <n v="16.989999999999998"/>
    <n v="16.989999999999998"/>
    <n v="2"/>
    <x v="1"/>
  </r>
  <r>
    <x v="894"/>
    <d v="2024-04-27T00:00:00"/>
    <x v="2"/>
    <x v="0"/>
    <x v="2"/>
    <x v="1"/>
    <x v="13"/>
    <x v="0"/>
    <n v="1"/>
    <n v="15.99"/>
    <n v="15.99"/>
    <n v="4"/>
    <x v="0"/>
  </r>
  <r>
    <x v="895"/>
    <d v="2024-07-25T00:00:00"/>
    <x v="0"/>
    <x v="0"/>
    <x v="7"/>
    <x v="0"/>
    <x v="17"/>
    <x v="0"/>
    <n v="1"/>
    <n v="14.99"/>
    <n v="14.99"/>
    <n v="5"/>
    <x v="0"/>
  </r>
  <r>
    <x v="896"/>
    <d v="2024-06-04T00:00:00"/>
    <x v="3"/>
    <x v="0"/>
    <x v="9"/>
    <x v="1"/>
    <x v="17"/>
    <x v="0"/>
    <n v="1"/>
    <n v="14.99"/>
    <n v="14.99"/>
    <n v="2"/>
    <x v="1"/>
  </r>
  <r>
    <x v="897"/>
    <d v="2024-06-16T00:00:00"/>
    <x v="3"/>
    <x v="0"/>
    <x v="1"/>
    <x v="2"/>
    <x v="10"/>
    <x v="0"/>
    <n v="2"/>
    <n v="22.99"/>
    <n v="45.98"/>
    <n v="4"/>
    <x v="0"/>
  </r>
  <r>
    <x v="898"/>
    <d v="2024-01-28T00:00:00"/>
    <x v="9"/>
    <x v="0"/>
    <x v="6"/>
    <x v="2"/>
    <x v="15"/>
    <x v="3"/>
    <n v="1"/>
    <n v="7.99"/>
    <n v="7.99"/>
    <n v="4"/>
    <x v="0"/>
  </r>
  <r>
    <x v="899"/>
    <d v="2024-01-29T00:00:00"/>
    <x v="9"/>
    <x v="0"/>
    <x v="5"/>
    <x v="1"/>
    <x v="1"/>
    <x v="1"/>
    <n v="3"/>
    <n v="9.99"/>
    <n v="29.97"/>
    <n v="4"/>
    <x v="0"/>
  </r>
  <r>
    <x v="900"/>
    <d v="2024-02-10T00:00:00"/>
    <x v="8"/>
    <x v="0"/>
    <x v="5"/>
    <x v="2"/>
    <x v="10"/>
    <x v="0"/>
    <n v="1"/>
    <n v="22.99"/>
    <n v="22.99"/>
    <n v="3"/>
    <x v="0"/>
  </r>
  <r>
    <x v="901"/>
    <d v="2024-08-26T00:00:00"/>
    <x v="10"/>
    <x v="0"/>
    <x v="3"/>
    <x v="1"/>
    <x v="16"/>
    <x v="3"/>
    <n v="2"/>
    <n v="8.99"/>
    <n v="17.98"/>
    <n v="5"/>
    <x v="0"/>
  </r>
  <r>
    <x v="902"/>
    <d v="2025-08-01T00:00:00"/>
    <x v="10"/>
    <x v="1"/>
    <x v="9"/>
    <x v="1"/>
    <x v="19"/>
    <x v="0"/>
    <n v="1"/>
    <n v="17.989999999999998"/>
    <n v="17.989999999999998"/>
    <n v="2"/>
    <x v="1"/>
  </r>
  <r>
    <x v="903"/>
    <d v="2024-01-19T00:00:00"/>
    <x v="9"/>
    <x v="0"/>
    <x v="2"/>
    <x v="2"/>
    <x v="2"/>
    <x v="2"/>
    <n v="2"/>
    <n v="8.99"/>
    <n v="17.98"/>
    <n v="3"/>
    <x v="0"/>
  </r>
  <r>
    <x v="904"/>
    <d v="2024-04-13T00:00:00"/>
    <x v="2"/>
    <x v="0"/>
    <x v="8"/>
    <x v="2"/>
    <x v="5"/>
    <x v="0"/>
    <n v="1"/>
    <n v="16.989999999999998"/>
    <n v="16.989999999999998"/>
    <n v="4"/>
    <x v="0"/>
  </r>
  <r>
    <x v="905"/>
    <d v="2024-01-19T00:00:00"/>
    <x v="9"/>
    <x v="0"/>
    <x v="0"/>
    <x v="1"/>
    <x v="9"/>
    <x v="0"/>
    <n v="2"/>
    <n v="32.99"/>
    <n v="65.98"/>
    <n v="5"/>
    <x v="0"/>
  </r>
  <r>
    <x v="906"/>
    <d v="2025-10-25T00:00:00"/>
    <x v="6"/>
    <x v="1"/>
    <x v="5"/>
    <x v="1"/>
    <x v="13"/>
    <x v="0"/>
    <n v="3"/>
    <n v="15.99"/>
    <n v="47.97"/>
    <n v="2"/>
    <x v="1"/>
  </r>
  <r>
    <x v="907"/>
    <d v="2025-07-25T00:00:00"/>
    <x v="0"/>
    <x v="1"/>
    <x v="5"/>
    <x v="2"/>
    <x v="9"/>
    <x v="0"/>
    <n v="1"/>
    <n v="32.99"/>
    <n v="32.99"/>
    <n v="4"/>
    <x v="0"/>
  </r>
  <r>
    <x v="908"/>
    <d v="2025-03-02T00:00:00"/>
    <x v="11"/>
    <x v="1"/>
    <x v="5"/>
    <x v="0"/>
    <x v="4"/>
    <x v="1"/>
    <n v="3"/>
    <n v="7.99"/>
    <n v="23.97"/>
    <n v="4"/>
    <x v="0"/>
  </r>
  <r>
    <x v="909"/>
    <d v="2025-12-11T00:00:00"/>
    <x v="7"/>
    <x v="1"/>
    <x v="5"/>
    <x v="0"/>
    <x v="18"/>
    <x v="3"/>
    <n v="1"/>
    <n v="10.99"/>
    <n v="10.99"/>
    <n v="3"/>
    <x v="0"/>
  </r>
  <r>
    <x v="910"/>
    <d v="2024-08-11T00:00:00"/>
    <x v="10"/>
    <x v="0"/>
    <x v="8"/>
    <x v="0"/>
    <x v="22"/>
    <x v="2"/>
    <n v="1"/>
    <n v="14.99"/>
    <n v="14.99"/>
    <n v="1"/>
    <x v="1"/>
  </r>
  <r>
    <x v="911"/>
    <d v="2024-05-17T00:00:00"/>
    <x v="4"/>
    <x v="0"/>
    <x v="9"/>
    <x v="1"/>
    <x v="14"/>
    <x v="2"/>
    <n v="1"/>
    <n v="9.99"/>
    <n v="9.99"/>
    <n v="2"/>
    <x v="1"/>
  </r>
  <r>
    <x v="912"/>
    <d v="2025-10-29T00:00:00"/>
    <x v="6"/>
    <x v="1"/>
    <x v="0"/>
    <x v="2"/>
    <x v="0"/>
    <x v="0"/>
    <n v="2"/>
    <n v="18.989999999999998"/>
    <n v="37.979999999999997"/>
    <n v="5"/>
    <x v="0"/>
  </r>
  <r>
    <x v="913"/>
    <d v="2024-07-09T00:00:00"/>
    <x v="0"/>
    <x v="0"/>
    <x v="0"/>
    <x v="2"/>
    <x v="10"/>
    <x v="0"/>
    <n v="3"/>
    <n v="22.99"/>
    <n v="68.97"/>
    <n v="4"/>
    <x v="0"/>
  </r>
  <r>
    <x v="914"/>
    <d v="2024-09-27T00:00:00"/>
    <x v="1"/>
    <x v="0"/>
    <x v="0"/>
    <x v="1"/>
    <x v="0"/>
    <x v="0"/>
    <n v="1"/>
    <n v="18.989999999999998"/>
    <n v="18.989999999999998"/>
    <n v="2"/>
    <x v="1"/>
  </r>
  <r>
    <x v="915"/>
    <d v="2024-09-04T00:00:00"/>
    <x v="1"/>
    <x v="0"/>
    <x v="8"/>
    <x v="2"/>
    <x v="23"/>
    <x v="3"/>
    <n v="4"/>
    <n v="11.99"/>
    <n v="47.96"/>
    <n v="3"/>
    <x v="0"/>
  </r>
  <r>
    <x v="916"/>
    <d v="2025-04-28T00:00:00"/>
    <x v="2"/>
    <x v="1"/>
    <x v="7"/>
    <x v="0"/>
    <x v="10"/>
    <x v="0"/>
    <n v="3"/>
    <n v="22.99"/>
    <n v="68.97"/>
    <n v="4"/>
    <x v="0"/>
  </r>
  <r>
    <x v="917"/>
    <d v="2024-12-15T00:00:00"/>
    <x v="7"/>
    <x v="0"/>
    <x v="3"/>
    <x v="2"/>
    <x v="6"/>
    <x v="0"/>
    <n v="1"/>
    <n v="24.99"/>
    <n v="24.99"/>
    <n v="4"/>
    <x v="0"/>
  </r>
  <r>
    <x v="918"/>
    <d v="2025-11-28T00:00:00"/>
    <x v="5"/>
    <x v="1"/>
    <x v="4"/>
    <x v="2"/>
    <x v="19"/>
    <x v="0"/>
    <n v="3"/>
    <n v="17.989999999999998"/>
    <n v="53.97"/>
    <n v="4"/>
    <x v="0"/>
  </r>
  <r>
    <x v="919"/>
    <d v="2024-11-20T00:00:00"/>
    <x v="5"/>
    <x v="0"/>
    <x v="8"/>
    <x v="2"/>
    <x v="0"/>
    <x v="0"/>
    <n v="1"/>
    <n v="18.989999999999998"/>
    <n v="18.989999999999998"/>
    <n v="4"/>
    <x v="0"/>
  </r>
  <r>
    <x v="920"/>
    <d v="2024-01-14T00:00:00"/>
    <x v="9"/>
    <x v="0"/>
    <x v="4"/>
    <x v="1"/>
    <x v="10"/>
    <x v="0"/>
    <n v="1"/>
    <n v="22.99"/>
    <n v="22.99"/>
    <n v="3"/>
    <x v="0"/>
  </r>
  <r>
    <x v="921"/>
    <d v="2025-09-04T00:00:00"/>
    <x v="1"/>
    <x v="1"/>
    <x v="1"/>
    <x v="0"/>
    <x v="22"/>
    <x v="2"/>
    <n v="1"/>
    <n v="14.99"/>
    <n v="14.99"/>
    <n v="4"/>
    <x v="0"/>
  </r>
  <r>
    <x v="922"/>
    <d v="2024-07-19T00:00:00"/>
    <x v="0"/>
    <x v="0"/>
    <x v="3"/>
    <x v="0"/>
    <x v="19"/>
    <x v="0"/>
    <n v="1"/>
    <n v="17.989999999999998"/>
    <n v="17.989999999999998"/>
    <n v="1"/>
    <x v="1"/>
  </r>
  <r>
    <x v="923"/>
    <d v="2024-10-18T00:00:00"/>
    <x v="6"/>
    <x v="0"/>
    <x v="2"/>
    <x v="0"/>
    <x v="9"/>
    <x v="0"/>
    <n v="2"/>
    <n v="32.99"/>
    <n v="65.98"/>
    <n v="2"/>
    <x v="1"/>
  </r>
  <r>
    <x v="924"/>
    <d v="2025-10-03T00:00:00"/>
    <x v="6"/>
    <x v="1"/>
    <x v="1"/>
    <x v="1"/>
    <x v="16"/>
    <x v="3"/>
    <n v="2"/>
    <n v="8.99"/>
    <n v="17.98"/>
    <n v="4"/>
    <x v="0"/>
  </r>
  <r>
    <x v="925"/>
    <d v="2025-04-13T00:00:00"/>
    <x v="2"/>
    <x v="1"/>
    <x v="5"/>
    <x v="2"/>
    <x v="2"/>
    <x v="2"/>
    <n v="1"/>
    <n v="8.99"/>
    <n v="8.99"/>
    <n v="5"/>
    <x v="0"/>
  </r>
  <r>
    <x v="926"/>
    <d v="2025-03-26T00:00:00"/>
    <x v="11"/>
    <x v="1"/>
    <x v="2"/>
    <x v="1"/>
    <x v="0"/>
    <x v="0"/>
    <n v="2"/>
    <n v="18.989999999999998"/>
    <n v="37.979999999999997"/>
    <n v="3"/>
    <x v="0"/>
  </r>
  <r>
    <x v="927"/>
    <d v="2025-01-07T00:00:00"/>
    <x v="9"/>
    <x v="1"/>
    <x v="4"/>
    <x v="1"/>
    <x v="10"/>
    <x v="0"/>
    <n v="1"/>
    <n v="22.99"/>
    <n v="22.99"/>
    <n v="3"/>
    <x v="0"/>
  </r>
  <r>
    <x v="928"/>
    <d v="2025-12-05T00:00:00"/>
    <x v="7"/>
    <x v="1"/>
    <x v="8"/>
    <x v="0"/>
    <x v="18"/>
    <x v="3"/>
    <n v="1"/>
    <n v="10.99"/>
    <n v="10.99"/>
    <n v="2"/>
    <x v="1"/>
  </r>
  <r>
    <x v="929"/>
    <d v="2024-05-27T00:00:00"/>
    <x v="4"/>
    <x v="0"/>
    <x v="7"/>
    <x v="2"/>
    <x v="11"/>
    <x v="1"/>
    <n v="4"/>
    <n v="6.99"/>
    <n v="27.96"/>
    <n v="4"/>
    <x v="0"/>
  </r>
  <r>
    <x v="930"/>
    <d v="2025-09-04T00:00:00"/>
    <x v="1"/>
    <x v="1"/>
    <x v="6"/>
    <x v="2"/>
    <x v="9"/>
    <x v="0"/>
    <n v="1"/>
    <n v="32.99"/>
    <n v="32.99"/>
    <n v="3"/>
    <x v="0"/>
  </r>
  <r>
    <x v="931"/>
    <d v="2024-04-14T00:00:00"/>
    <x v="2"/>
    <x v="0"/>
    <x v="5"/>
    <x v="1"/>
    <x v="12"/>
    <x v="2"/>
    <n v="2"/>
    <n v="10.99"/>
    <n v="21.98"/>
    <n v="5"/>
    <x v="0"/>
  </r>
  <r>
    <x v="932"/>
    <d v="2025-03-01T00:00:00"/>
    <x v="11"/>
    <x v="1"/>
    <x v="0"/>
    <x v="0"/>
    <x v="5"/>
    <x v="0"/>
    <n v="2"/>
    <n v="16.989999999999998"/>
    <n v="33.979999999999997"/>
    <n v="2"/>
    <x v="1"/>
  </r>
  <r>
    <x v="933"/>
    <d v="2024-04-21T00:00:00"/>
    <x v="2"/>
    <x v="0"/>
    <x v="5"/>
    <x v="2"/>
    <x v="11"/>
    <x v="1"/>
    <n v="1"/>
    <n v="6.99"/>
    <n v="6.99"/>
    <n v="4"/>
    <x v="0"/>
  </r>
  <r>
    <x v="934"/>
    <d v="2025-04-08T00:00:00"/>
    <x v="2"/>
    <x v="1"/>
    <x v="8"/>
    <x v="2"/>
    <x v="19"/>
    <x v="0"/>
    <n v="1"/>
    <n v="17.989999999999998"/>
    <n v="17.989999999999998"/>
    <n v="4"/>
    <x v="0"/>
  </r>
  <r>
    <x v="935"/>
    <d v="2025-02-08T00:00:00"/>
    <x v="8"/>
    <x v="1"/>
    <x v="6"/>
    <x v="2"/>
    <x v="17"/>
    <x v="0"/>
    <n v="3"/>
    <n v="14.99"/>
    <n v="44.97"/>
    <n v="1"/>
    <x v="1"/>
  </r>
  <r>
    <x v="936"/>
    <d v="2024-08-20T00:00:00"/>
    <x v="10"/>
    <x v="0"/>
    <x v="0"/>
    <x v="2"/>
    <x v="1"/>
    <x v="1"/>
    <n v="3"/>
    <n v="9.99"/>
    <n v="29.97"/>
    <n v="3"/>
    <x v="0"/>
  </r>
  <r>
    <x v="937"/>
    <d v="2025-01-21T00:00:00"/>
    <x v="9"/>
    <x v="1"/>
    <x v="7"/>
    <x v="2"/>
    <x v="3"/>
    <x v="1"/>
    <n v="3"/>
    <n v="3.49"/>
    <n v="10.47"/>
    <n v="4"/>
    <x v="0"/>
  </r>
  <r>
    <x v="938"/>
    <d v="2025-02-08T00:00:00"/>
    <x v="8"/>
    <x v="1"/>
    <x v="3"/>
    <x v="0"/>
    <x v="19"/>
    <x v="0"/>
    <n v="1"/>
    <n v="17.989999999999998"/>
    <n v="17.989999999999998"/>
    <n v="5"/>
    <x v="0"/>
  </r>
  <r>
    <x v="939"/>
    <d v="2024-01-28T00:00:00"/>
    <x v="9"/>
    <x v="0"/>
    <x v="6"/>
    <x v="1"/>
    <x v="16"/>
    <x v="3"/>
    <n v="4"/>
    <n v="8.99"/>
    <n v="35.96"/>
    <n v="5"/>
    <x v="0"/>
  </r>
  <r>
    <x v="940"/>
    <d v="2025-10-11T00:00:00"/>
    <x v="6"/>
    <x v="1"/>
    <x v="0"/>
    <x v="2"/>
    <x v="19"/>
    <x v="0"/>
    <n v="2"/>
    <n v="17.989999999999998"/>
    <n v="35.979999999999997"/>
    <n v="3"/>
    <x v="0"/>
  </r>
  <r>
    <x v="941"/>
    <d v="2024-04-18T00:00:00"/>
    <x v="2"/>
    <x v="0"/>
    <x v="7"/>
    <x v="1"/>
    <x v="5"/>
    <x v="0"/>
    <n v="1"/>
    <n v="16.989999999999998"/>
    <n v="16.989999999999998"/>
    <n v="4"/>
    <x v="0"/>
  </r>
  <r>
    <x v="942"/>
    <d v="2024-08-08T00:00:00"/>
    <x v="10"/>
    <x v="0"/>
    <x v="3"/>
    <x v="0"/>
    <x v="5"/>
    <x v="0"/>
    <n v="1"/>
    <n v="16.989999999999998"/>
    <n v="16.989999999999998"/>
    <n v="4"/>
    <x v="0"/>
  </r>
  <r>
    <x v="943"/>
    <d v="2025-02-09T00:00:00"/>
    <x v="8"/>
    <x v="1"/>
    <x v="0"/>
    <x v="1"/>
    <x v="18"/>
    <x v="3"/>
    <n v="1"/>
    <n v="10.99"/>
    <n v="10.99"/>
    <n v="5"/>
    <x v="0"/>
  </r>
  <r>
    <x v="944"/>
    <d v="2024-03-27T00:00:00"/>
    <x v="11"/>
    <x v="0"/>
    <x v="2"/>
    <x v="0"/>
    <x v="13"/>
    <x v="0"/>
    <n v="1"/>
    <n v="15.99"/>
    <n v="15.99"/>
    <n v="4"/>
    <x v="0"/>
  </r>
  <r>
    <x v="945"/>
    <d v="2025-09-07T00:00:00"/>
    <x v="1"/>
    <x v="1"/>
    <x v="9"/>
    <x v="1"/>
    <x v="15"/>
    <x v="3"/>
    <n v="1"/>
    <n v="7.99"/>
    <n v="7.99"/>
    <n v="5"/>
    <x v="0"/>
  </r>
  <r>
    <x v="946"/>
    <d v="2024-09-28T00:00:00"/>
    <x v="1"/>
    <x v="0"/>
    <x v="1"/>
    <x v="0"/>
    <x v="9"/>
    <x v="0"/>
    <n v="2"/>
    <n v="32.99"/>
    <n v="65.98"/>
    <n v="3"/>
    <x v="0"/>
  </r>
  <r>
    <x v="947"/>
    <d v="2025-07-26T00:00:00"/>
    <x v="0"/>
    <x v="1"/>
    <x v="8"/>
    <x v="1"/>
    <x v="3"/>
    <x v="1"/>
    <n v="1"/>
    <n v="3.49"/>
    <n v="3.49"/>
    <n v="5"/>
    <x v="0"/>
  </r>
  <r>
    <x v="948"/>
    <d v="2025-02-23T00:00:00"/>
    <x v="8"/>
    <x v="1"/>
    <x v="2"/>
    <x v="0"/>
    <x v="3"/>
    <x v="1"/>
    <n v="1"/>
    <n v="3.49"/>
    <n v="3.49"/>
    <n v="4"/>
    <x v="0"/>
  </r>
  <r>
    <x v="949"/>
    <d v="2025-10-04T00:00:00"/>
    <x v="6"/>
    <x v="1"/>
    <x v="4"/>
    <x v="0"/>
    <x v="12"/>
    <x v="2"/>
    <n v="1"/>
    <n v="10.99"/>
    <n v="10.99"/>
    <n v="4"/>
    <x v="0"/>
  </r>
  <r>
    <x v="950"/>
    <d v="2025-09-22T00:00:00"/>
    <x v="1"/>
    <x v="1"/>
    <x v="5"/>
    <x v="2"/>
    <x v="5"/>
    <x v="0"/>
    <n v="2"/>
    <n v="16.989999999999998"/>
    <n v="33.979999999999997"/>
    <n v="4"/>
    <x v="0"/>
  </r>
  <r>
    <x v="951"/>
    <d v="2024-07-18T00:00:00"/>
    <x v="0"/>
    <x v="0"/>
    <x v="8"/>
    <x v="2"/>
    <x v="23"/>
    <x v="3"/>
    <n v="2"/>
    <n v="11.99"/>
    <n v="23.98"/>
    <n v="3"/>
    <x v="0"/>
  </r>
  <r>
    <x v="952"/>
    <d v="2025-07-02T00:00:00"/>
    <x v="0"/>
    <x v="1"/>
    <x v="9"/>
    <x v="1"/>
    <x v="22"/>
    <x v="2"/>
    <n v="2"/>
    <n v="14.99"/>
    <n v="29.98"/>
    <n v="3"/>
    <x v="0"/>
  </r>
  <r>
    <x v="953"/>
    <d v="2024-06-17T00:00:00"/>
    <x v="3"/>
    <x v="0"/>
    <x v="1"/>
    <x v="2"/>
    <x v="20"/>
    <x v="1"/>
    <n v="3"/>
    <n v="5.99"/>
    <n v="17.97"/>
    <n v="4"/>
    <x v="0"/>
  </r>
  <r>
    <x v="954"/>
    <d v="2025-09-14T00:00:00"/>
    <x v="1"/>
    <x v="1"/>
    <x v="3"/>
    <x v="2"/>
    <x v="9"/>
    <x v="0"/>
    <n v="1"/>
    <n v="32.99"/>
    <n v="32.99"/>
    <n v="5"/>
    <x v="0"/>
  </r>
  <r>
    <x v="955"/>
    <d v="2025-10-25T00:00:00"/>
    <x v="6"/>
    <x v="1"/>
    <x v="3"/>
    <x v="0"/>
    <x v="0"/>
    <x v="0"/>
    <n v="1"/>
    <n v="18.989999999999998"/>
    <n v="18.989999999999998"/>
    <n v="5"/>
    <x v="0"/>
  </r>
  <r>
    <x v="956"/>
    <d v="2025-08-01T00:00:00"/>
    <x v="10"/>
    <x v="1"/>
    <x v="6"/>
    <x v="2"/>
    <x v="6"/>
    <x v="0"/>
    <n v="4"/>
    <n v="24.99"/>
    <n v="99.96"/>
    <n v="3"/>
    <x v="0"/>
  </r>
  <r>
    <x v="957"/>
    <d v="2024-09-05T00:00:00"/>
    <x v="1"/>
    <x v="0"/>
    <x v="0"/>
    <x v="2"/>
    <x v="9"/>
    <x v="0"/>
    <n v="3"/>
    <n v="32.99"/>
    <n v="98.97"/>
    <n v="4"/>
    <x v="0"/>
  </r>
  <r>
    <x v="958"/>
    <d v="2024-12-02T00:00:00"/>
    <x v="7"/>
    <x v="0"/>
    <x v="5"/>
    <x v="0"/>
    <x v="6"/>
    <x v="0"/>
    <n v="3"/>
    <n v="24.99"/>
    <n v="74.97"/>
    <n v="4"/>
    <x v="0"/>
  </r>
  <r>
    <x v="959"/>
    <d v="2025-05-30T00:00:00"/>
    <x v="4"/>
    <x v="1"/>
    <x v="0"/>
    <x v="1"/>
    <x v="6"/>
    <x v="0"/>
    <n v="1"/>
    <n v="24.99"/>
    <n v="24.99"/>
    <n v="4"/>
    <x v="0"/>
  </r>
  <r>
    <x v="960"/>
    <d v="2024-04-20T00:00:00"/>
    <x v="2"/>
    <x v="0"/>
    <x v="5"/>
    <x v="1"/>
    <x v="22"/>
    <x v="2"/>
    <n v="1"/>
    <n v="14.99"/>
    <n v="14.99"/>
    <n v="3"/>
    <x v="0"/>
  </r>
  <r>
    <x v="961"/>
    <d v="2024-11-21T00:00:00"/>
    <x v="5"/>
    <x v="0"/>
    <x v="3"/>
    <x v="2"/>
    <x v="10"/>
    <x v="0"/>
    <n v="1"/>
    <n v="22.99"/>
    <n v="22.99"/>
    <n v="5"/>
    <x v="0"/>
  </r>
  <r>
    <x v="962"/>
    <d v="2025-03-01T00:00:00"/>
    <x v="11"/>
    <x v="1"/>
    <x v="7"/>
    <x v="1"/>
    <x v="9"/>
    <x v="0"/>
    <n v="2"/>
    <n v="32.99"/>
    <n v="65.98"/>
    <n v="3"/>
    <x v="0"/>
  </r>
  <r>
    <x v="963"/>
    <d v="2025-09-28T00:00:00"/>
    <x v="1"/>
    <x v="1"/>
    <x v="5"/>
    <x v="0"/>
    <x v="13"/>
    <x v="0"/>
    <n v="2"/>
    <n v="15.99"/>
    <n v="31.98"/>
    <n v="4"/>
    <x v="0"/>
  </r>
  <r>
    <x v="964"/>
    <d v="2025-11-05T00:00:00"/>
    <x v="5"/>
    <x v="1"/>
    <x v="4"/>
    <x v="0"/>
    <x v="23"/>
    <x v="3"/>
    <n v="1"/>
    <n v="11.99"/>
    <n v="11.99"/>
    <n v="4"/>
    <x v="0"/>
  </r>
  <r>
    <x v="965"/>
    <d v="2024-04-06T00:00:00"/>
    <x v="2"/>
    <x v="0"/>
    <x v="3"/>
    <x v="0"/>
    <x v="17"/>
    <x v="0"/>
    <n v="3"/>
    <n v="14.99"/>
    <n v="44.97"/>
    <n v="4"/>
    <x v="0"/>
  </r>
  <r>
    <x v="966"/>
    <d v="2025-12-21T00:00:00"/>
    <x v="7"/>
    <x v="1"/>
    <x v="5"/>
    <x v="2"/>
    <x v="22"/>
    <x v="2"/>
    <n v="1"/>
    <n v="14.99"/>
    <n v="14.99"/>
    <n v="3"/>
    <x v="0"/>
  </r>
  <r>
    <x v="967"/>
    <d v="2025-10-12T00:00:00"/>
    <x v="6"/>
    <x v="1"/>
    <x v="7"/>
    <x v="1"/>
    <x v="7"/>
    <x v="2"/>
    <n v="1"/>
    <n v="12.99"/>
    <n v="12.99"/>
    <n v="4"/>
    <x v="0"/>
  </r>
  <r>
    <x v="968"/>
    <d v="2024-07-07T00:00:00"/>
    <x v="0"/>
    <x v="0"/>
    <x v="1"/>
    <x v="2"/>
    <x v="0"/>
    <x v="0"/>
    <n v="2"/>
    <n v="18.989999999999998"/>
    <n v="37.979999999999997"/>
    <n v="5"/>
    <x v="0"/>
  </r>
  <r>
    <x v="969"/>
    <d v="2025-02-07T00:00:00"/>
    <x v="8"/>
    <x v="1"/>
    <x v="4"/>
    <x v="2"/>
    <x v="4"/>
    <x v="1"/>
    <n v="1"/>
    <n v="7.99"/>
    <n v="7.99"/>
    <n v="5"/>
    <x v="0"/>
  </r>
  <r>
    <x v="970"/>
    <d v="2025-04-26T00:00:00"/>
    <x v="2"/>
    <x v="1"/>
    <x v="7"/>
    <x v="1"/>
    <x v="10"/>
    <x v="0"/>
    <n v="1"/>
    <n v="22.99"/>
    <n v="22.99"/>
    <n v="5"/>
    <x v="0"/>
  </r>
  <r>
    <x v="971"/>
    <d v="2025-01-24T00:00:00"/>
    <x v="9"/>
    <x v="1"/>
    <x v="3"/>
    <x v="1"/>
    <x v="18"/>
    <x v="3"/>
    <n v="4"/>
    <n v="10.99"/>
    <n v="43.96"/>
    <n v="4"/>
    <x v="0"/>
  </r>
  <r>
    <x v="972"/>
    <d v="2024-10-29T00:00:00"/>
    <x v="6"/>
    <x v="0"/>
    <x v="4"/>
    <x v="2"/>
    <x v="20"/>
    <x v="1"/>
    <n v="3"/>
    <n v="5.99"/>
    <n v="17.97"/>
    <n v="5"/>
    <x v="0"/>
  </r>
  <r>
    <x v="973"/>
    <d v="2025-09-14T00:00:00"/>
    <x v="1"/>
    <x v="1"/>
    <x v="1"/>
    <x v="0"/>
    <x v="2"/>
    <x v="2"/>
    <n v="3"/>
    <n v="8.99"/>
    <n v="26.97"/>
    <n v="3"/>
    <x v="0"/>
  </r>
  <r>
    <x v="974"/>
    <d v="2025-05-02T00:00:00"/>
    <x v="4"/>
    <x v="1"/>
    <x v="5"/>
    <x v="2"/>
    <x v="20"/>
    <x v="1"/>
    <n v="3"/>
    <n v="5.99"/>
    <n v="17.97"/>
    <n v="5"/>
    <x v="0"/>
  </r>
  <r>
    <x v="975"/>
    <d v="2024-03-21T00:00:00"/>
    <x v="11"/>
    <x v="0"/>
    <x v="0"/>
    <x v="2"/>
    <x v="3"/>
    <x v="1"/>
    <n v="1"/>
    <n v="3.49"/>
    <n v="3.49"/>
    <n v="3"/>
    <x v="0"/>
  </r>
  <r>
    <x v="976"/>
    <d v="2025-11-21T00:00:00"/>
    <x v="5"/>
    <x v="1"/>
    <x v="4"/>
    <x v="2"/>
    <x v="17"/>
    <x v="0"/>
    <n v="1"/>
    <n v="14.99"/>
    <n v="14.99"/>
    <n v="5"/>
    <x v="0"/>
  </r>
  <r>
    <x v="977"/>
    <d v="2024-12-25T00:00:00"/>
    <x v="7"/>
    <x v="0"/>
    <x v="4"/>
    <x v="2"/>
    <x v="24"/>
    <x v="3"/>
    <n v="1"/>
    <n v="9.99"/>
    <n v="9.99"/>
    <n v="3"/>
    <x v="0"/>
  </r>
  <r>
    <x v="978"/>
    <d v="2025-04-03T00:00:00"/>
    <x v="2"/>
    <x v="1"/>
    <x v="1"/>
    <x v="0"/>
    <x v="6"/>
    <x v="0"/>
    <n v="1"/>
    <n v="24.99"/>
    <n v="24.99"/>
    <n v="1"/>
    <x v="1"/>
  </r>
  <r>
    <x v="979"/>
    <d v="2024-10-07T00:00:00"/>
    <x v="6"/>
    <x v="0"/>
    <x v="6"/>
    <x v="2"/>
    <x v="16"/>
    <x v="3"/>
    <n v="1"/>
    <n v="8.99"/>
    <n v="8.99"/>
    <n v="2"/>
    <x v="1"/>
  </r>
  <r>
    <x v="980"/>
    <d v="2025-06-28T00:00:00"/>
    <x v="3"/>
    <x v="1"/>
    <x v="5"/>
    <x v="0"/>
    <x v="5"/>
    <x v="0"/>
    <n v="3"/>
    <n v="16.989999999999998"/>
    <n v="50.97"/>
    <n v="5"/>
    <x v="0"/>
  </r>
  <r>
    <x v="981"/>
    <d v="2025-04-06T00:00:00"/>
    <x v="2"/>
    <x v="1"/>
    <x v="2"/>
    <x v="0"/>
    <x v="0"/>
    <x v="0"/>
    <n v="2"/>
    <n v="18.989999999999998"/>
    <n v="37.979999999999997"/>
    <n v="1"/>
    <x v="1"/>
  </r>
  <r>
    <x v="982"/>
    <d v="2025-10-31T00:00:00"/>
    <x v="6"/>
    <x v="1"/>
    <x v="2"/>
    <x v="0"/>
    <x v="15"/>
    <x v="3"/>
    <n v="1"/>
    <n v="7.99"/>
    <n v="7.99"/>
    <n v="4"/>
    <x v="0"/>
  </r>
  <r>
    <x v="983"/>
    <d v="2024-08-22T00:00:00"/>
    <x v="10"/>
    <x v="0"/>
    <x v="6"/>
    <x v="2"/>
    <x v="17"/>
    <x v="0"/>
    <n v="2"/>
    <n v="14.99"/>
    <n v="29.98"/>
    <n v="5"/>
    <x v="0"/>
  </r>
  <r>
    <x v="984"/>
    <d v="2025-01-11T00:00:00"/>
    <x v="9"/>
    <x v="1"/>
    <x v="8"/>
    <x v="2"/>
    <x v="7"/>
    <x v="2"/>
    <n v="1"/>
    <n v="12.99"/>
    <n v="12.99"/>
    <n v="3"/>
    <x v="0"/>
  </r>
  <r>
    <x v="985"/>
    <d v="2024-03-01T00:00:00"/>
    <x v="11"/>
    <x v="0"/>
    <x v="1"/>
    <x v="2"/>
    <x v="6"/>
    <x v="0"/>
    <n v="2"/>
    <n v="24.99"/>
    <n v="49.98"/>
    <n v="5"/>
    <x v="0"/>
  </r>
  <r>
    <x v="986"/>
    <d v="2025-12-08T00:00:00"/>
    <x v="7"/>
    <x v="1"/>
    <x v="8"/>
    <x v="1"/>
    <x v="9"/>
    <x v="0"/>
    <n v="1"/>
    <n v="32.99"/>
    <n v="32.99"/>
    <n v="5"/>
    <x v="0"/>
  </r>
  <r>
    <x v="987"/>
    <d v="2024-06-15T00:00:00"/>
    <x v="3"/>
    <x v="0"/>
    <x v="5"/>
    <x v="2"/>
    <x v="17"/>
    <x v="0"/>
    <n v="2"/>
    <n v="14.99"/>
    <n v="29.98"/>
    <n v="5"/>
    <x v="0"/>
  </r>
  <r>
    <x v="988"/>
    <d v="2024-05-11T00:00:00"/>
    <x v="4"/>
    <x v="0"/>
    <x v="8"/>
    <x v="0"/>
    <x v="14"/>
    <x v="2"/>
    <n v="1"/>
    <n v="9.99"/>
    <n v="9.99"/>
    <n v="4"/>
    <x v="0"/>
  </r>
  <r>
    <x v="989"/>
    <d v="2025-11-01T00:00:00"/>
    <x v="5"/>
    <x v="1"/>
    <x v="4"/>
    <x v="0"/>
    <x v="24"/>
    <x v="3"/>
    <n v="1"/>
    <n v="9.99"/>
    <n v="9.99"/>
    <n v="3"/>
    <x v="0"/>
  </r>
  <r>
    <x v="990"/>
    <d v="2025-08-30T00:00:00"/>
    <x v="10"/>
    <x v="1"/>
    <x v="5"/>
    <x v="2"/>
    <x v="5"/>
    <x v="0"/>
    <n v="2"/>
    <n v="16.989999999999998"/>
    <n v="33.979999999999997"/>
    <n v="5"/>
    <x v="0"/>
  </r>
  <r>
    <x v="991"/>
    <d v="2025-07-07T00:00:00"/>
    <x v="0"/>
    <x v="1"/>
    <x v="2"/>
    <x v="1"/>
    <x v="13"/>
    <x v="0"/>
    <n v="3"/>
    <n v="15.99"/>
    <n v="47.97"/>
    <n v="4"/>
    <x v="0"/>
  </r>
  <r>
    <x v="992"/>
    <d v="2024-07-08T00:00:00"/>
    <x v="0"/>
    <x v="0"/>
    <x v="4"/>
    <x v="2"/>
    <x v="13"/>
    <x v="0"/>
    <n v="2"/>
    <n v="15.99"/>
    <n v="31.98"/>
    <n v="2"/>
    <x v="1"/>
  </r>
  <r>
    <x v="993"/>
    <d v="2024-02-25T00:00:00"/>
    <x v="8"/>
    <x v="0"/>
    <x v="5"/>
    <x v="1"/>
    <x v="13"/>
    <x v="0"/>
    <n v="1"/>
    <n v="15.99"/>
    <n v="15.99"/>
    <n v="5"/>
    <x v="0"/>
  </r>
  <r>
    <x v="994"/>
    <d v="2025-12-12T00:00:00"/>
    <x v="7"/>
    <x v="1"/>
    <x v="6"/>
    <x v="2"/>
    <x v="0"/>
    <x v="0"/>
    <n v="1"/>
    <n v="18.989999999999998"/>
    <n v="18.989999999999998"/>
    <n v="4"/>
    <x v="0"/>
  </r>
  <r>
    <x v="995"/>
    <d v="2024-05-06T00:00:00"/>
    <x v="4"/>
    <x v="0"/>
    <x v="0"/>
    <x v="2"/>
    <x v="24"/>
    <x v="3"/>
    <n v="3"/>
    <n v="9.99"/>
    <n v="29.97"/>
    <n v="3"/>
    <x v="0"/>
  </r>
  <r>
    <x v="996"/>
    <d v="2024-03-28T00:00:00"/>
    <x v="11"/>
    <x v="0"/>
    <x v="0"/>
    <x v="1"/>
    <x v="13"/>
    <x v="0"/>
    <n v="1"/>
    <n v="15.99"/>
    <n v="15.99"/>
    <n v="3"/>
    <x v="0"/>
  </r>
  <r>
    <x v="997"/>
    <d v="2024-11-24T00:00:00"/>
    <x v="5"/>
    <x v="0"/>
    <x v="0"/>
    <x v="1"/>
    <x v="0"/>
    <x v="0"/>
    <n v="1"/>
    <n v="18.989999999999998"/>
    <n v="18.989999999999998"/>
    <n v="5"/>
    <x v="0"/>
  </r>
  <r>
    <x v="998"/>
    <d v="2025-08-24T00:00:00"/>
    <x v="10"/>
    <x v="1"/>
    <x v="2"/>
    <x v="2"/>
    <x v="16"/>
    <x v="3"/>
    <n v="2"/>
    <n v="8.99"/>
    <n v="17.98"/>
    <n v="5"/>
    <x v="0"/>
  </r>
  <r>
    <x v="999"/>
    <d v="2025-04-24T00:00:00"/>
    <x v="2"/>
    <x v="1"/>
    <x v="3"/>
    <x v="2"/>
    <x v="9"/>
    <x v="0"/>
    <n v="1"/>
    <n v="32.99"/>
    <n v="32.99"/>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6">
  <location ref="A3:B13" firstHeaderRow="1" firstDataRow="1" firstDataCol="1" rowPageCount="1" colPageCount="1"/>
  <pivotFields count="1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5" showAll="0"/>
    <pivotField showAll="0">
      <items count="13">
        <item x="9"/>
        <item x="8"/>
        <item x="11"/>
        <item x="2"/>
        <item x="4"/>
        <item x="3"/>
        <item x="0"/>
        <item x="10"/>
        <item x="1"/>
        <item x="6"/>
        <item x="5"/>
        <item x="7"/>
        <item t="default"/>
      </items>
    </pivotField>
    <pivotField axis="axisPage" showAll="0">
      <items count="3">
        <item x="0"/>
        <item x="1"/>
        <item t="default"/>
      </items>
    </pivotField>
    <pivotField axis="axisRow" showAll="0" sortType="descending">
      <items count="11">
        <item x="9"/>
        <item x="4"/>
        <item x="8"/>
        <item x="1"/>
        <item x="0"/>
        <item x="5"/>
        <item x="3"/>
        <item x="6"/>
        <item x="2"/>
        <item x="7"/>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26">
        <item x="16"/>
        <item x="10"/>
        <item x="8"/>
        <item x="22"/>
        <item x="13"/>
        <item x="7"/>
        <item x="18"/>
        <item x="0"/>
        <item x="23"/>
        <item x="4"/>
        <item x="19"/>
        <item x="21"/>
        <item x="6"/>
        <item x="1"/>
        <item x="15"/>
        <item x="20"/>
        <item x="12"/>
        <item x="5"/>
        <item x="9"/>
        <item x="17"/>
        <item x="11"/>
        <item x="2"/>
        <item x="3"/>
        <item x="14"/>
        <item x="24"/>
        <item t="default"/>
      </items>
    </pivotField>
    <pivotField showAll="0">
      <items count="5">
        <item x="2"/>
        <item x="1"/>
        <item x="3"/>
        <item x="0"/>
        <item t="default"/>
      </items>
    </pivotField>
    <pivotField dataField="1" showAll="0"/>
    <pivotField numFmtId="164" showAll="0"/>
    <pivotField numFmtId="164" showAll="0"/>
    <pivotField showAll="0"/>
    <pivotField showAll="0"/>
  </pivotFields>
  <rowFields count="1">
    <field x="4"/>
  </rowFields>
  <rowItems count="10">
    <i>
      <x v="5"/>
    </i>
    <i>
      <x v="4"/>
    </i>
    <i>
      <x v="1"/>
    </i>
    <i>
      <x v="3"/>
    </i>
    <i>
      <x v="2"/>
    </i>
    <i>
      <x v="7"/>
    </i>
    <i>
      <x v="6"/>
    </i>
    <i>
      <x v="8"/>
    </i>
    <i>
      <x/>
    </i>
    <i>
      <x v="9"/>
    </i>
  </rowItems>
  <colItems count="1">
    <i/>
  </colItems>
  <pageFields count="1">
    <pageField fld="3" hier="-1"/>
  </pageFields>
  <dataFields count="1">
    <dataField name="Count of Quantity" fld="8" subtotal="count" baseField="4" baseItem="4"/>
  </dataFields>
  <formats count="6">
    <format dxfId="46">
      <pivotArea collapsedLevelsAreSubtotals="1" fieldPosition="0">
        <references count="1">
          <reference field="4" count="1">
            <x v="4"/>
          </reference>
        </references>
      </pivotArea>
    </format>
    <format dxfId="45">
      <pivotArea type="all" dataOnly="0" outline="0" fieldPosition="0"/>
    </format>
    <format dxfId="44">
      <pivotArea dataOnly="0" labelOnly="1" outline="0" axis="axisValues" fieldPosition="0"/>
    </format>
    <format dxfId="43">
      <pivotArea outline="0" collapsedLevelsAreSubtotals="1" fieldPosition="0"/>
    </format>
    <format dxfId="42">
      <pivotArea collapsedLevelsAreSubtotals="1" fieldPosition="0">
        <references count="1">
          <reference field="4" count="1">
            <x v="5"/>
          </reference>
        </references>
      </pivotArea>
    </format>
    <format dxfId="41">
      <pivotArea collapsedLevelsAreSubtotals="1" fieldPosition="0">
        <references count="1">
          <reference field="4" count="1">
            <x v="9"/>
          </reference>
        </references>
      </pivotArea>
    </format>
  </format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3">
  <location ref="A3:C16" firstHeaderRow="1" firstDataRow="2" firstDataCol="1"/>
  <pivotFields count="13">
    <pivotField showAll="0"/>
    <pivotField numFmtId="165" showAll="0"/>
    <pivotField axis="axisRow" showAll="0">
      <items count="13">
        <item x="9"/>
        <item x="8"/>
        <item x="11"/>
        <item x="2"/>
        <item x="4"/>
        <item x="3"/>
        <item x="0"/>
        <item x="10"/>
        <item x="1"/>
        <item x="6"/>
        <item x="5"/>
        <item x="7"/>
        <item t="default"/>
      </items>
    </pivotField>
    <pivotField axis="axisCol" showAll="0">
      <items count="3">
        <item x="0"/>
        <item x="1"/>
        <item t="default"/>
      </items>
    </pivotField>
    <pivotField showAll="0">
      <items count="11">
        <item x="9"/>
        <item x="4"/>
        <item x="8"/>
        <item x="1"/>
        <item x="0"/>
        <item x="5"/>
        <item x="3"/>
        <item x="6"/>
        <item x="2"/>
        <item x="7"/>
        <item t="default"/>
      </items>
    </pivotField>
    <pivotField showAll="0">
      <items count="4">
        <item x="0"/>
        <item x="2"/>
        <item x="1"/>
        <item t="default"/>
      </items>
    </pivotField>
    <pivotField showAll="0"/>
    <pivotField showAll="0">
      <items count="5">
        <item x="2"/>
        <item x="1"/>
        <item x="3"/>
        <item x="0"/>
        <item t="default"/>
      </items>
    </pivotField>
    <pivotField dataField="1" showAll="0"/>
    <pivotField numFmtId="164" showAll="0"/>
    <pivotField numFmtId="164" showAll="0"/>
    <pivotField showAll="0"/>
    <pivotField showAll="0"/>
  </pivotFields>
  <rowFields count="1">
    <field x="2"/>
  </rowFields>
  <rowItems count="12">
    <i>
      <x/>
    </i>
    <i>
      <x v="1"/>
    </i>
    <i>
      <x v="2"/>
    </i>
    <i>
      <x v="3"/>
    </i>
    <i>
      <x v="4"/>
    </i>
    <i>
      <x v="5"/>
    </i>
    <i>
      <x v="6"/>
    </i>
    <i>
      <x v="7"/>
    </i>
    <i>
      <x v="8"/>
    </i>
    <i>
      <x v="9"/>
    </i>
    <i>
      <x v="10"/>
    </i>
    <i>
      <x v="11"/>
    </i>
  </rowItems>
  <colFields count="1">
    <field x="3"/>
  </colFields>
  <colItems count="2">
    <i>
      <x/>
    </i>
    <i>
      <x v="1"/>
    </i>
  </colItems>
  <dataFields count="1">
    <dataField name="Count of Quantity" fld="8" subtotal="count" baseField="2" baseItem="0"/>
  </dataFields>
  <formats count="4">
    <format dxfId="40">
      <pivotArea collapsedLevelsAreSubtotals="1" fieldPosition="0">
        <references count="2">
          <reference field="2" count="1">
            <x v="5"/>
          </reference>
          <reference field="3" count="1" selected="0">
            <x v="0"/>
          </reference>
        </references>
      </pivotArea>
    </format>
    <format dxfId="39">
      <pivotArea collapsedLevelsAreSubtotals="1" fieldPosition="0">
        <references count="2">
          <reference field="2" count="1">
            <x v="1"/>
          </reference>
          <reference field="3" count="1" selected="0">
            <x v="0"/>
          </reference>
        </references>
      </pivotArea>
    </format>
    <format dxfId="38">
      <pivotArea collapsedLevelsAreSubtotals="1" fieldPosition="0">
        <references count="2">
          <reference field="2" count="1">
            <x v="9"/>
          </reference>
          <reference field="3" count="1" selected="0">
            <x v="1"/>
          </reference>
        </references>
      </pivotArea>
    </format>
    <format dxfId="37">
      <pivotArea collapsedLevelsAreSubtotals="1" fieldPosition="0">
        <references count="2">
          <reference field="2" count="1">
            <x v="11"/>
          </reference>
          <reference field="3" count="1" selected="0">
            <x v="1"/>
          </reference>
        </references>
      </pivotArea>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4">
  <location ref="A3:B7" firstHeaderRow="1" firstDataRow="1" firstDataCol="1" rowPageCount="1" colPageCount="1"/>
  <pivotFields count="13">
    <pivotField showAll="0"/>
    <pivotField numFmtId="165" showAll="0"/>
    <pivotField axis="axisPage" showAll="0">
      <items count="13">
        <item x="9"/>
        <item x="8"/>
        <item x="11"/>
        <item x="2"/>
        <item x="4"/>
        <item x="3"/>
        <item x="0"/>
        <item x="10"/>
        <item x="1"/>
        <item x="6"/>
        <item x="5"/>
        <item x="7"/>
        <item t="default"/>
      </items>
    </pivotField>
    <pivotField showAll="0">
      <items count="3">
        <item x="0"/>
        <item x="1"/>
        <item t="default"/>
      </items>
    </pivotField>
    <pivotField showAll="0">
      <items count="11">
        <item x="9"/>
        <item x="4"/>
        <item x="8"/>
        <item x="1"/>
        <item x="0"/>
        <item x="5"/>
        <item x="3"/>
        <item x="6"/>
        <item x="2"/>
        <item x="7"/>
        <item t="default"/>
      </items>
    </pivotField>
    <pivotField showAll="0">
      <items count="4">
        <item x="0"/>
        <item x="2"/>
        <item x="1"/>
        <item t="default"/>
      </items>
    </pivotField>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pivotField showAll="0"/>
  </pivotFields>
  <rowFields count="1">
    <field x="7"/>
  </rowFields>
  <rowItems count="4">
    <i>
      <x v="3"/>
    </i>
    <i>
      <x/>
    </i>
    <i>
      <x v="2"/>
    </i>
    <i>
      <x v="1"/>
    </i>
  </rowItems>
  <colItems count="1">
    <i/>
  </colItems>
  <pageFields count="1">
    <pageField fld="2" hier="-1"/>
  </pageFields>
  <dataFields count="1">
    <dataField name="Sum of Order Total" fld="10" showDataAs="percentOfTotal" baseField="0" baseItem="0" numFmtId="10"/>
  </dataFields>
  <formats count="6">
    <format dxfId="36">
      <pivotArea outline="0" collapsedLevelsAreSubtotals="1" fieldPosition="0"/>
    </format>
    <format dxfId="35">
      <pivotArea dataOnly="0" labelOnly="1" outline="0" axis="axisValues" fieldPosition="0"/>
    </format>
    <format dxfId="34">
      <pivotArea outline="0" fieldPosition="0">
        <references count="1">
          <reference field="4294967294" count="1">
            <x v="0"/>
          </reference>
        </references>
      </pivotArea>
    </format>
    <format dxfId="33">
      <pivotArea collapsedLevelsAreSubtotals="1" fieldPosition="0">
        <references count="1">
          <reference field="7" count="1">
            <x v="3"/>
          </reference>
        </references>
      </pivotArea>
    </format>
    <format dxfId="32">
      <pivotArea collapsedLevelsAreSubtotals="1" fieldPosition="0">
        <references count="1">
          <reference field="7" count="1">
            <x v="3"/>
          </reference>
        </references>
      </pivotArea>
    </format>
    <format dxfId="31">
      <pivotArea dataOnly="0" labelOnly="1" fieldPosition="0">
        <references count="1">
          <reference field="7"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4">
  <location ref="A3:B7" firstHeaderRow="1" firstDataRow="1" firstDataCol="1"/>
  <pivotFields count="13">
    <pivotField showAll="0"/>
    <pivotField numFmtId="165" showAll="0"/>
    <pivotField showAll="0">
      <items count="13">
        <item x="9"/>
        <item x="8"/>
        <item x="11"/>
        <item x="2"/>
        <item x="4"/>
        <item x="3"/>
        <item x="0"/>
        <item x="10"/>
        <item x="1"/>
        <item x="6"/>
        <item x="5"/>
        <item x="7"/>
        <item t="default"/>
      </items>
    </pivotField>
    <pivotField showAll="0">
      <items count="3">
        <item x="0"/>
        <item x="1"/>
        <item t="default"/>
      </items>
    </pivotField>
    <pivotField showAll="0">
      <items count="11">
        <item x="9"/>
        <item x="4"/>
        <item x="8"/>
        <item x="1"/>
        <item x="0"/>
        <item x="5"/>
        <item x="3"/>
        <item x="6"/>
        <item x="2"/>
        <item x="7"/>
        <item t="default"/>
      </items>
    </pivotField>
    <pivotField showAll="0">
      <items count="4">
        <item x="0"/>
        <item x="2"/>
        <item x="1"/>
        <item t="default"/>
      </items>
    </pivotField>
    <pivotField axis="axisRow" showAll="0">
      <items count="26">
        <item x="16"/>
        <item x="10"/>
        <item x="8"/>
        <item x="22"/>
        <item x="13"/>
        <item x="7"/>
        <item x="18"/>
        <item x="0"/>
        <item x="23"/>
        <item x="4"/>
        <item x="19"/>
        <item x="21"/>
        <item x="6"/>
        <item x="1"/>
        <item x="15"/>
        <item x="20"/>
        <item x="12"/>
        <item x="5"/>
        <item x="9"/>
        <item x="17"/>
        <item x="11"/>
        <item x="2"/>
        <item x="3"/>
        <item x="14"/>
        <item x="24"/>
        <item t="default"/>
      </items>
    </pivotField>
    <pivotField axis="axisRow" showAll="0">
      <items count="5">
        <item sd="0" x="2"/>
        <item sd="0" x="1"/>
        <item sd="0" x="3"/>
        <item sd="0" x="0"/>
        <item t="default"/>
      </items>
    </pivotField>
    <pivotField showAll="0"/>
    <pivotField numFmtId="164" showAll="0"/>
    <pivotField numFmtId="164" showAll="0"/>
    <pivotField dataField="1" showAll="0"/>
    <pivotField showAll="0">
      <items count="3">
        <item x="1"/>
        <item x="0"/>
        <item t="default"/>
      </items>
    </pivotField>
  </pivotFields>
  <rowFields count="2">
    <field x="7"/>
    <field x="6"/>
  </rowFields>
  <rowItems count="4">
    <i>
      <x/>
    </i>
    <i>
      <x v="1"/>
    </i>
    <i>
      <x v="2"/>
    </i>
    <i>
      <x v="3"/>
    </i>
  </rowItems>
  <colItems count="1">
    <i/>
  </colItems>
  <dataFields count="1">
    <dataField name="Average of Customer Rating" fld="11" subtotal="average" baseField="7" baseItem="2"/>
  </dataFields>
  <formats count="12">
    <format dxfId="30">
      <pivotArea collapsedLevelsAreSubtotals="1" fieldPosition="0">
        <references count="1">
          <reference field="7" count="1">
            <x v="0"/>
          </reference>
        </references>
      </pivotArea>
    </format>
    <format dxfId="29">
      <pivotArea collapsedLevelsAreSubtotals="1" fieldPosition="0">
        <references count="2">
          <reference field="6" count="6">
            <x v="2"/>
            <x v="3"/>
            <x v="5"/>
            <x v="16"/>
            <x v="21"/>
            <x v="23"/>
          </reference>
          <reference field="7" count="1" selected="0">
            <x v="0"/>
          </reference>
        </references>
      </pivotArea>
    </format>
    <format dxfId="28">
      <pivotArea collapsedLevelsAreSubtotals="1" fieldPosition="0">
        <references count="1">
          <reference field="7" count="1">
            <x v="1"/>
          </reference>
        </references>
      </pivotArea>
    </format>
    <format dxfId="27">
      <pivotArea collapsedLevelsAreSubtotals="1" fieldPosition="0">
        <references count="2">
          <reference field="6" count="6">
            <x v="9"/>
            <x v="11"/>
            <x v="13"/>
            <x v="15"/>
            <x v="20"/>
            <x v="22"/>
          </reference>
          <reference field="7" count="1" selected="0">
            <x v="1"/>
          </reference>
        </references>
      </pivotArea>
    </format>
    <format dxfId="26">
      <pivotArea collapsedLevelsAreSubtotals="1" fieldPosition="0">
        <references count="1">
          <reference field="7" count="1">
            <x v="2"/>
          </reference>
        </references>
      </pivotArea>
    </format>
    <format dxfId="25">
      <pivotArea collapsedLevelsAreSubtotals="1" fieldPosition="0">
        <references count="2">
          <reference field="6" count="5">
            <x v="0"/>
            <x v="6"/>
            <x v="8"/>
            <x v="14"/>
            <x v="24"/>
          </reference>
          <reference field="7" count="1" selected="0">
            <x v="2"/>
          </reference>
        </references>
      </pivotArea>
    </format>
    <format dxfId="24">
      <pivotArea collapsedLevelsAreSubtotals="1" fieldPosition="0">
        <references count="1">
          <reference field="7" count="1">
            <x v="3"/>
          </reference>
        </references>
      </pivotArea>
    </format>
    <format dxfId="23">
      <pivotArea collapsedLevelsAreSubtotals="1" fieldPosition="0">
        <references count="2">
          <reference field="6" count="8">
            <x v="1"/>
            <x v="4"/>
            <x v="7"/>
            <x v="10"/>
            <x v="12"/>
            <x v="17"/>
            <x v="18"/>
            <x v="19"/>
          </reference>
          <reference field="7" count="1" selected="0">
            <x v="3"/>
          </reference>
        </references>
      </pivotArea>
    </format>
    <format dxfId="22">
      <pivotArea collapsedLevelsAreSubtotals="1" fieldPosition="0">
        <references count="1">
          <reference field="7" count="1">
            <x v="1"/>
          </reference>
        </references>
      </pivotArea>
    </format>
    <format dxfId="21">
      <pivotArea dataOnly="0" labelOnly="1" fieldPosition="0">
        <references count="1">
          <reference field="7" count="1">
            <x v="1"/>
          </reference>
        </references>
      </pivotArea>
    </format>
    <format dxfId="20">
      <pivotArea collapsedLevelsAreSubtotals="1" fieldPosition="0">
        <references count="1">
          <reference field="7" count="1">
            <x v="0"/>
          </reference>
        </references>
      </pivotArea>
    </format>
    <format dxfId="19">
      <pivotArea dataOnly="0" labelOnly="1" fieldPosition="0">
        <references count="1">
          <reference field="7"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4">
  <location ref="A3:B6" firstHeaderRow="1" firstDataRow="1" firstDataCol="1"/>
  <pivotFields count="13">
    <pivotField showAll="0"/>
    <pivotField numFmtId="165" showAll="0"/>
    <pivotField showAll="0">
      <items count="13">
        <item x="9"/>
        <item x="8"/>
        <item x="11"/>
        <item x="2"/>
        <item x="4"/>
        <item x="3"/>
        <item x="0"/>
        <item x="10"/>
        <item x="1"/>
        <item x="6"/>
        <item x="5"/>
        <item x="7"/>
        <item t="default"/>
      </items>
    </pivotField>
    <pivotField showAll="0">
      <items count="3">
        <item x="0"/>
        <item x="1"/>
        <item t="default"/>
      </items>
    </pivotField>
    <pivotField showAll="0">
      <items count="11">
        <item x="9"/>
        <item x="4"/>
        <item x="8"/>
        <item x="1"/>
        <item x="0"/>
        <item x="5"/>
        <item x="3"/>
        <item x="6"/>
        <item x="2"/>
        <item x="7"/>
        <item t="default"/>
      </items>
    </pivotField>
    <pivotField axis="axisRow" showAll="0">
      <items count="4">
        <item x="0"/>
        <item x="2"/>
        <item x="1"/>
        <item t="default"/>
      </items>
    </pivotField>
    <pivotField showAll="0"/>
    <pivotField showAll="0">
      <items count="5">
        <item x="2"/>
        <item x="1"/>
        <item x="3"/>
        <item x="0"/>
        <item t="default"/>
      </items>
    </pivotField>
    <pivotField dataField="1" showAll="0"/>
    <pivotField numFmtId="164" showAll="0"/>
    <pivotField numFmtId="164" showAll="0"/>
    <pivotField showAll="0"/>
    <pivotField showAll="0"/>
  </pivotFields>
  <rowFields count="1">
    <field x="5"/>
  </rowFields>
  <rowItems count="3">
    <i>
      <x/>
    </i>
    <i>
      <x v="1"/>
    </i>
    <i>
      <x v="2"/>
    </i>
  </rowItems>
  <colItems count="1">
    <i/>
  </colItems>
  <dataFields count="1">
    <dataField name="Sum of Quantity" fld="8" baseField="0" baseItem="0"/>
  </dataFields>
  <formats count="1">
    <format dxfId="18">
      <pivotArea collapsedLevelsAreSubtotals="1" fieldPosition="0">
        <references count="1">
          <reference field="5"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12">
  <location ref="A3:C16" firstHeaderRow="1" firstDataRow="2" firstDataCol="1"/>
  <pivotFields count="13">
    <pivotField showAll="0"/>
    <pivotField numFmtId="165" showAll="0"/>
    <pivotField axis="axisRow" showAll="0">
      <items count="13">
        <item x="9"/>
        <item x="8"/>
        <item x="11"/>
        <item x="2"/>
        <item x="4"/>
        <item x="3"/>
        <item x="0"/>
        <item x="10"/>
        <item x="1"/>
        <item x="6"/>
        <item x="5"/>
        <item x="7"/>
        <item t="default"/>
      </items>
    </pivotField>
    <pivotField axis="axisCol" showAll="0">
      <items count="3">
        <item x="0"/>
        <item x="1"/>
        <item t="default"/>
      </items>
    </pivotField>
    <pivotField showAll="0">
      <items count="11">
        <item x="9"/>
        <item x="4"/>
        <item x="8"/>
        <item x="1"/>
        <item x="0"/>
        <item x="5"/>
        <item x="3"/>
        <item x="6"/>
        <item x="2"/>
        <item x="7"/>
        <item t="default"/>
      </items>
    </pivotField>
    <pivotField showAll="0"/>
    <pivotField showAll="0"/>
    <pivotField showAll="0">
      <items count="5">
        <item x="2"/>
        <item x="1"/>
        <item x="3"/>
        <item x="0"/>
        <item t="default"/>
      </items>
    </pivotField>
    <pivotField showAll="0"/>
    <pivotField numFmtId="164" showAll="0"/>
    <pivotField dataField="1" numFmtId="164" showAll="0"/>
    <pivotField showAll="0"/>
    <pivotField showAll="0"/>
  </pivotFields>
  <rowFields count="1">
    <field x="2"/>
  </rowFields>
  <rowItems count="12">
    <i>
      <x/>
    </i>
    <i>
      <x v="1"/>
    </i>
    <i>
      <x v="2"/>
    </i>
    <i>
      <x v="3"/>
    </i>
    <i>
      <x v="4"/>
    </i>
    <i>
      <x v="5"/>
    </i>
    <i>
      <x v="6"/>
    </i>
    <i>
      <x v="7"/>
    </i>
    <i>
      <x v="8"/>
    </i>
    <i>
      <x v="9"/>
    </i>
    <i>
      <x v="10"/>
    </i>
    <i>
      <x v="11"/>
    </i>
  </rowItems>
  <colFields count="1">
    <field x="3"/>
  </colFields>
  <colItems count="2">
    <i>
      <x/>
    </i>
    <i>
      <x v="1"/>
    </i>
  </colItems>
  <dataFields count="1">
    <dataField name="Sum of Order Total" fld="10" baseField="0" baseItem="0" numFmtId="166"/>
  </dataFields>
  <formats count="6">
    <format dxfId="0">
      <pivotArea outline="0" collapsedLevelsAreSubtotals="1" fieldPosition="0"/>
    </format>
    <format dxfId="1">
      <pivotArea collapsedLevelsAreSubtotals="1" fieldPosition="0">
        <references count="2">
          <reference field="2" count="1">
            <x v="9"/>
          </reference>
          <reference field="3" count="1" selected="0">
            <x v="1"/>
          </reference>
        </references>
      </pivotArea>
    </format>
    <format dxfId="2">
      <pivotArea collapsedLevelsAreSubtotals="1" fieldPosition="0">
        <references count="2">
          <reference field="2" count="1">
            <x v="4"/>
          </reference>
          <reference field="3" count="1" selected="0">
            <x v="0"/>
          </reference>
        </references>
      </pivotArea>
    </format>
    <format dxfId="3">
      <pivotArea collapsedLevelsAreSubtotals="1" fieldPosition="0">
        <references count="2">
          <reference field="2" count="1">
            <x v="4"/>
          </reference>
          <reference field="3" count="1" selected="0">
            <x v="0"/>
          </reference>
        </references>
      </pivotArea>
    </format>
    <format dxfId="4">
      <pivotArea collapsedLevelsAreSubtotals="1" fieldPosition="0">
        <references count="2">
          <reference field="2" count="1">
            <x v="1"/>
          </reference>
          <reference field="3" count="1" selected="0">
            <x v="0"/>
          </reference>
        </references>
      </pivotArea>
    </format>
    <format dxfId="5">
      <pivotArea collapsedLevelsAreSubtotals="1" fieldPosition="0">
        <references count="2">
          <reference field="2" count="1">
            <x v="6"/>
          </reference>
          <reference field="3" count="1" selected="0">
            <x v="1"/>
          </reference>
        </references>
      </pivotArea>
    </format>
  </formats>
  <chartFormats count="10">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8" format="2" series="1">
      <pivotArea type="data" outline="0" fieldPosition="0">
        <references count="2">
          <reference field="4294967294" count="1" selected="0">
            <x v="0"/>
          </reference>
          <reference field="3" count="1" selected="0">
            <x v="0"/>
          </reference>
        </references>
      </pivotArea>
    </chartFormat>
    <chartFormat chart="8" format="3" series="1">
      <pivotArea type="data" outline="0" fieldPosition="0">
        <references count="2">
          <reference field="4294967294" count="1" selected="0">
            <x v="0"/>
          </reference>
          <reference field="3" count="1" selected="0">
            <x v="1"/>
          </reference>
        </references>
      </pivotArea>
    </chartFormat>
    <chartFormat chart="9" format="4" series="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2">
          <reference field="4294967294" count="1" selected="0">
            <x v="0"/>
          </reference>
          <reference field="3" count="1" selected="0">
            <x v="1"/>
          </reference>
        </references>
      </pivotArea>
    </chartFormat>
    <chartFormat chart="9"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4" indent="0" outline="1" outlineData="1" multipleFieldFilters="0" chartFormat="5">
  <location ref="A3:E14" firstHeaderRow="1" firstDataRow="2" firstDataCol="1"/>
  <pivotFields count="13">
    <pivotField showAll="0"/>
    <pivotField numFmtId="165" showAll="0"/>
    <pivotField showAll="0">
      <items count="13">
        <item x="9"/>
        <item x="8"/>
        <item x="11"/>
        <item x="2"/>
        <item x="4"/>
        <item x="3"/>
        <item x="0"/>
        <item x="10"/>
        <item x="1"/>
        <item x="6"/>
        <item x="5"/>
        <item x="7"/>
        <item t="default"/>
      </items>
    </pivotField>
    <pivotField showAll="0">
      <items count="3">
        <item x="0"/>
        <item x="1"/>
        <item t="default"/>
      </items>
    </pivotField>
    <pivotField axis="axisRow" showAll="0">
      <items count="11">
        <item x="9"/>
        <item x="4"/>
        <item x="8"/>
        <item x="1"/>
        <item x="0"/>
        <item x="5"/>
        <item x="3"/>
        <item x="6"/>
        <item x="2"/>
        <item x="7"/>
        <item t="default"/>
      </items>
    </pivotField>
    <pivotField showAll="0">
      <items count="4">
        <item x="0"/>
        <item x="2"/>
        <item x="1"/>
        <item t="default"/>
      </items>
    </pivotField>
    <pivotField showAll="0">
      <items count="26">
        <item x="16"/>
        <item x="10"/>
        <item x="8"/>
        <item x="22"/>
        <item x="13"/>
        <item x="7"/>
        <item x="18"/>
        <item x="0"/>
        <item x="23"/>
        <item x="4"/>
        <item x="19"/>
        <item x="21"/>
        <item x="6"/>
        <item x="1"/>
        <item x="15"/>
        <item x="20"/>
        <item x="12"/>
        <item x="5"/>
        <item x="9"/>
        <item x="17"/>
        <item x="11"/>
        <item x="2"/>
        <item x="3"/>
        <item x="14"/>
        <item x="24"/>
        <item t="default"/>
      </items>
    </pivotField>
    <pivotField axis="axisCol" showAll="0">
      <items count="5">
        <item x="2"/>
        <item x="1"/>
        <item x="3"/>
        <item x="0"/>
        <item t="default"/>
      </items>
    </pivotField>
    <pivotField dataField="1" showAll="0"/>
    <pivotField numFmtId="164" showAll="0"/>
    <pivotField numFmtId="164" showAll="0"/>
    <pivotField showAll="0"/>
    <pivotField showAll="0"/>
  </pivotFields>
  <rowFields count="1">
    <field x="4"/>
  </rowFields>
  <rowItems count="10">
    <i>
      <x/>
    </i>
    <i>
      <x v="1"/>
    </i>
    <i>
      <x v="2"/>
    </i>
    <i>
      <x v="3"/>
    </i>
    <i>
      <x v="4"/>
    </i>
    <i>
      <x v="5"/>
    </i>
    <i>
      <x v="6"/>
    </i>
    <i>
      <x v="7"/>
    </i>
    <i>
      <x v="8"/>
    </i>
    <i>
      <x v="9"/>
    </i>
  </rowItems>
  <colFields count="1">
    <field x="7"/>
  </colFields>
  <colItems count="4">
    <i>
      <x/>
    </i>
    <i>
      <x v="1"/>
    </i>
    <i>
      <x v="2"/>
    </i>
    <i>
      <x v="3"/>
    </i>
  </colItems>
  <dataFields count="1">
    <dataField name="Sum of Quantity" fld="8" baseField="0" baseItem="0"/>
  </dataFields>
  <formats count="4">
    <format dxfId="16">
      <pivotArea outline="0" collapsedLevelsAreSubtotals="1" fieldPosition="0">
        <references count="1">
          <reference field="7" count="1" selected="0">
            <x v="3"/>
          </reference>
        </references>
      </pivotArea>
    </format>
    <format dxfId="15">
      <pivotArea collapsedLevelsAreSubtotals="1" fieldPosition="0">
        <references count="2">
          <reference field="4" count="1">
            <x v="2"/>
          </reference>
          <reference field="7" count="1" selected="0">
            <x v="0"/>
          </reference>
        </references>
      </pivotArea>
    </format>
    <format dxfId="14">
      <pivotArea collapsedLevelsAreSubtotals="1" fieldPosition="0">
        <references count="2">
          <reference field="4" count="1">
            <x v="5"/>
          </reference>
          <reference field="7" count="1" selected="0">
            <x v="1"/>
          </reference>
        </references>
      </pivotArea>
    </format>
    <format dxfId="13">
      <pivotArea collapsedLevelsAreSubtotals="1" fieldPosition="0">
        <references count="2">
          <reference field="4" count="1">
            <x v="4"/>
          </reference>
          <reference field="7" count="1" selected="0">
            <x v="2"/>
          </reference>
        </references>
      </pivotArea>
    </format>
  </formats>
  <chartFormats count="19">
    <chartFormat chart="0" format="5" series="1">
      <pivotArea type="data" outline="0" fieldPosition="0">
        <references count="1">
          <reference field="7" count="1" selected="0">
            <x v="1"/>
          </reference>
        </references>
      </pivotArea>
    </chartFormat>
    <chartFormat chart="0" format="6" series="1">
      <pivotArea type="data" outline="0" fieldPosition="0">
        <references count="1">
          <reference field="7" count="1" selected="0">
            <x v="2"/>
          </reference>
        </references>
      </pivotArea>
    </chartFormat>
    <chartFormat chart="0" format="7" series="1">
      <pivotArea type="data" outline="0" fieldPosition="0">
        <references count="1">
          <reference field="7" count="1" selected="0">
            <x v="3"/>
          </reference>
        </references>
      </pivotArea>
    </chartFormat>
    <chartFormat chart="0" format="8" series="1">
      <pivotArea type="data" outline="0" fieldPosition="0">
        <references count="1">
          <reference field="7" count="1" selected="0">
            <x v="0"/>
          </reference>
        </references>
      </pivotArea>
    </chartFormat>
    <chartFormat chart="1" format="9" series="1">
      <pivotArea type="data" outline="0" fieldPosition="0">
        <references count="2">
          <reference field="4294967294" count="1" selected="0">
            <x v="0"/>
          </reference>
          <reference field="7" count="1" selected="0">
            <x v="0"/>
          </reference>
        </references>
      </pivotArea>
    </chartFormat>
    <chartFormat chart="1" format="10" series="1">
      <pivotArea type="data" outline="0" fieldPosition="0">
        <references count="2">
          <reference field="4294967294" count="1" selected="0">
            <x v="0"/>
          </reference>
          <reference field="7" count="1" selected="0">
            <x v="1"/>
          </reference>
        </references>
      </pivotArea>
    </chartFormat>
    <chartFormat chart="1" format="11" series="1">
      <pivotArea type="data" outline="0" fieldPosition="0">
        <references count="2">
          <reference field="4294967294" count="1" selected="0">
            <x v="0"/>
          </reference>
          <reference field="7" count="1" selected="0">
            <x v="2"/>
          </reference>
        </references>
      </pivotArea>
    </chartFormat>
    <chartFormat chart="1" format="12" series="1">
      <pivotArea type="data" outline="0" fieldPosition="0">
        <references count="2">
          <reference field="4294967294" count="1" selected="0">
            <x v="0"/>
          </reference>
          <reference field="7" count="1" selected="0">
            <x v="3"/>
          </reference>
        </references>
      </pivotArea>
    </chartFormat>
    <chartFormat chart="2" format="13" series="1">
      <pivotArea type="data" outline="0" fieldPosition="0">
        <references count="2">
          <reference field="4294967294" count="1" selected="0">
            <x v="0"/>
          </reference>
          <reference field="7" count="1" selected="0">
            <x v="0"/>
          </reference>
        </references>
      </pivotArea>
    </chartFormat>
    <chartFormat chart="2" format="14" series="1">
      <pivotArea type="data" outline="0" fieldPosition="0">
        <references count="2">
          <reference field="4294967294" count="1" selected="0">
            <x v="0"/>
          </reference>
          <reference field="7" count="1" selected="0">
            <x v="1"/>
          </reference>
        </references>
      </pivotArea>
    </chartFormat>
    <chartFormat chart="2" format="15" series="1">
      <pivotArea type="data" outline="0" fieldPosition="0">
        <references count="2">
          <reference field="4294967294" count="1" selected="0">
            <x v="0"/>
          </reference>
          <reference field="7" count="1" selected="0">
            <x v="2"/>
          </reference>
        </references>
      </pivotArea>
    </chartFormat>
    <chartFormat chart="2" format="16" series="1">
      <pivotArea type="data" outline="0" fieldPosition="0">
        <references count="2">
          <reference field="4294967294" count="1" selected="0">
            <x v="0"/>
          </reference>
          <reference field="7" count="1" selected="0">
            <x v="3"/>
          </reference>
        </references>
      </pivotArea>
    </chartFormat>
    <chartFormat chart="2" format="17" series="1">
      <pivotArea type="data" outline="0" fieldPosition="0">
        <references count="1">
          <reference field="4294967294" count="1" selected="0">
            <x v="0"/>
          </reference>
        </references>
      </pivotArea>
    </chartFormat>
    <chartFormat chart="1" format="13"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7" count="1" selected="0">
            <x v="0"/>
          </reference>
        </references>
      </pivotArea>
    </chartFormat>
    <chartFormat chart="0" format="11" series="1">
      <pivotArea type="data" outline="0" fieldPosition="0">
        <references count="2">
          <reference field="4294967294" count="1" selected="0">
            <x v="0"/>
          </reference>
          <reference field="7" count="1" selected="0">
            <x v="1"/>
          </reference>
        </references>
      </pivotArea>
    </chartFormat>
    <chartFormat chart="0" format="12" series="1">
      <pivotArea type="data" outline="0" fieldPosition="0">
        <references count="2">
          <reference field="4294967294" count="1" selected="0">
            <x v="0"/>
          </reference>
          <reference field="7" count="1" selected="0">
            <x v="2"/>
          </reference>
        </references>
      </pivotArea>
    </chartFormat>
    <chartFormat chart="0" format="13"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3" name="PivotTable2"/>
    <pivotTable tabId="2" name="PivotTable1"/>
    <pivotTable tabId="4" name="PivotTable3"/>
    <pivotTable tabId="5" name="PivotTable4"/>
    <pivotTable tabId="6" name="PivotTable5"/>
    <pivotTable tabId="8" name="PivotTable1"/>
    <pivotTable tabId="10"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00000000-0013-0000-FFFF-FFFF02000000}" sourceName="Order Type">
  <pivotTables>
    <pivotTable tabId="6" name="PivotTable5"/>
    <pivotTable tabId="2" name="PivotTable1"/>
    <pivotTable tabId="3" name="PivotTable2"/>
    <pivotTable tabId="4" name="PivotTable3"/>
    <pivotTable tabId="5" name="PivotTable4"/>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3000000}" sourceName="month">
  <pivotTables>
    <pivotTable tabId="8" name="PivotTable1"/>
    <pivotTable tabId="6" name="PivotTable5"/>
    <pivotTable tabId="5" name="PivotTable4"/>
    <pivotTable tabId="4" name="PivotTable3"/>
    <pivotTable tabId="2" name="PivotTable1"/>
    <pivotTable tabId="3" name="PivotTable2"/>
    <pivotTable tabId="10" name="PivotTable2"/>
  </pivotTables>
  <data>
    <tabular pivotCacheId="1">
      <items count="12">
        <i x="9" s="1"/>
        <i x="8" s="1"/>
        <i x="11" s="1"/>
        <i x="2" s="1"/>
        <i x="4" s="1"/>
        <i x="3" s="1"/>
        <i x="0" s="1"/>
        <i x="10" s="1"/>
        <i x="1" s="1"/>
        <i x="6" s="1"/>
        <i x="5"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Location1" xr10:uid="{00000000-0013-0000-FFFF-FFFF04000000}" sourceName="Restaurant Location">
  <pivotTables>
    <pivotTable tabId="10" name="PivotTable2"/>
    <pivotTable tabId="5" name="PivotTable4"/>
    <pivotTable tabId="4" name="PivotTable3"/>
    <pivotTable tabId="3" name="PivotTable2"/>
    <pivotTable tabId="2" name="PivotTable1"/>
    <pivotTable tabId="6" name="PivotTable5"/>
    <pivotTable tabId="8" name="PivotTable1"/>
  </pivotTables>
  <data>
    <tabular pivotCacheId="1">
      <items count="10">
        <i x="9" s="1"/>
        <i x="4" s="1"/>
        <i x="8" s="1"/>
        <i x="1" s="1"/>
        <i x="0" s="1"/>
        <i x="5" s="1"/>
        <i x="3" s="1"/>
        <i x="6" s="1"/>
        <i x="2"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0000000-0013-0000-FFFF-FFFF05000000}" sourceName="Category">
  <pivotTables>
    <pivotTable tabId="10" name="PivotTable2"/>
    <pivotTable tabId="6" name="PivotTable5"/>
    <pivotTable tabId="5" name="PivotTable4"/>
    <pivotTable tabId="3" name="PivotTable2"/>
    <pivotTable tabId="2" name="PivotTable1"/>
    <pivotTable tabId="4" name="PivotTable3"/>
    <pivotTable tabId="8" name="PivotTable1"/>
  </pivotTables>
  <data>
    <tabular pivotCacheId="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Location" xr10:uid="{00000000-0014-0000-FFFF-FFFF04000000}" cache="Slicer_Restaurant_Location1" caption="Restaurant 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5000000}" cache="Slicer_year" caption="year" rowHeight="241300"/>
  <slicer name="month" xr10:uid="{00000000-0014-0000-FFFF-FFFF06000000}" cache="Slicer_month1" caption="mont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7000000}" cache="Slicer_Category1" caption="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00000000-0014-0000-FFFF-FFFF08000000}" cache="Slicer_Order_Type" caption="Order Typ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00000000-0014-0000-FFFF-FFFF09000000}" cache="Slicer_month1" caption="month"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Location 1" xr10:uid="{00000000-0014-0000-FFFF-FFFF0A000000}" cache="Slicer_Restaurant_Location1" caption="Restaurant Location" rowHeight="241300"/>
  <slicer name="Category 2" xr10:uid="{00000000-0014-0000-FFFF-FFFF0B000000}" cache="Slicer_Category1" caption="Category"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1000000}" cache="Slicer_year" caption="year" style="SlicerStyleOther2" rowHeight="241300"/>
  <slicer name="month 1" xr10:uid="{00000000-0014-0000-FFFF-FFFF02000000}" cache="Slicer_month1" caption="month" style="SlicerStyleOther2" rowHeight="241300"/>
  <slicer name="Category 1" xr10:uid="{00000000-0014-0000-FFFF-FFFF03000000}" cache="Slicer_Category1" caption="Category"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M41" totalsRowShown="0">
  <autoFilter ref="A1:M41" xr:uid="{00000000-0009-0000-0100-000002000000}"/>
  <tableColumns count="13">
    <tableColumn id="1" xr3:uid="{00000000-0010-0000-0000-000001000000}" name="                                                                                                                                                                                                                                                               "/>
    <tableColumn id="2" xr3:uid="{00000000-0010-0000-0000-000002000000}" name="Order Date" dataDxfId="17"/>
    <tableColumn id="3" xr3:uid="{00000000-0010-0000-0000-000003000000}" name="month"/>
    <tableColumn id="4" xr3:uid="{00000000-0010-0000-0000-000004000000}" name="year"/>
    <tableColumn id="5" xr3:uid="{00000000-0010-0000-0000-000005000000}" name="Restaurant Location"/>
    <tableColumn id="6" xr3:uid="{00000000-0010-0000-0000-000006000000}" name="Order Type"/>
    <tableColumn id="7" xr3:uid="{00000000-0010-0000-0000-000007000000}" name="Menu Item"/>
    <tableColumn id="8" xr3:uid="{00000000-0010-0000-0000-000008000000}" name="Category"/>
    <tableColumn id="9" xr3:uid="{00000000-0010-0000-0000-000009000000}" name="Quantity"/>
    <tableColumn id="10" xr3:uid="{00000000-0010-0000-0000-00000A000000}" name="Unit Price"/>
    <tableColumn id="11" xr3:uid="{00000000-0010-0000-0000-00000B000000}" name="Order Total"/>
    <tableColumn id="12" xr3:uid="{00000000-0010-0000-0000-00000C000000}" name="Customer Rating"/>
    <tableColumn id="13" xr3:uid="{00000000-0010-0000-0000-00000D000000}" name="Rating 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M1001" totalsRowShown="0" headerRowDxfId="12">
  <autoFilter ref="A1:M1001" xr:uid="{00000000-0009-0000-0100-000001000000}"/>
  <tableColumns count="13">
    <tableColumn id="1" xr3:uid="{00000000-0010-0000-0100-000001000000}" name="                   "/>
    <tableColumn id="2" xr3:uid="{00000000-0010-0000-0100-000002000000}" name="Order Date" dataDxfId="11"/>
    <tableColumn id="11" xr3:uid="{00000000-0010-0000-0100-00000B000000}" name="month" dataDxfId="10">
      <calculatedColumnFormula>TEXT(Table1[[#This Row],[Order Date]],"mmm")</calculatedColumnFormula>
    </tableColumn>
    <tableColumn id="12" xr3:uid="{00000000-0010-0000-0100-00000C000000}" name="year" dataDxfId="9">
      <calculatedColumnFormula>TEXT(Table1[[#This Row],[Order Date]],"yyyy")</calculatedColumnFormula>
    </tableColumn>
    <tableColumn id="3" xr3:uid="{00000000-0010-0000-0100-000003000000}" name="Restaurant Location"/>
    <tableColumn id="4" xr3:uid="{00000000-0010-0000-0100-000004000000}" name="Order Type"/>
    <tableColumn id="5" xr3:uid="{00000000-0010-0000-0100-000005000000}" name="Menu Item"/>
    <tableColumn id="6" xr3:uid="{00000000-0010-0000-0100-000006000000}" name="Category"/>
    <tableColumn id="7" xr3:uid="{00000000-0010-0000-0100-000007000000}" name="Quantity"/>
    <tableColumn id="8" xr3:uid="{00000000-0010-0000-0100-000008000000}" name="Unit Price" dataDxfId="8"/>
    <tableColumn id="9" xr3:uid="{00000000-0010-0000-0100-000009000000}" name="Order Total" dataDxfId="7"/>
    <tableColumn id="10" xr3:uid="{00000000-0010-0000-0100-00000A000000}" name="Customer Rating"/>
    <tableColumn id="13" xr3:uid="{00000000-0010-0000-0100-00000D000000}" name="Rating type" dataDxfId="6">
      <calculatedColumnFormula>IF(Table1[[#This Row],[Customer Rating]]&gt;=3,"Good","Average")</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A3" sqref="A3:B13"/>
    </sheetView>
  </sheetViews>
  <sheetFormatPr defaultRowHeight="15" x14ac:dyDescent="0.25"/>
  <cols>
    <col min="1" max="1" width="20.42578125" bestFit="1" customWidth="1"/>
    <col min="2" max="2" width="19.140625" style="8" bestFit="1" customWidth="1"/>
    <col min="3" max="3" width="14" bestFit="1" customWidth="1"/>
    <col min="4" max="4" width="9.85546875" bestFit="1" customWidth="1"/>
    <col min="5" max="5" width="12.28515625" bestFit="1" customWidth="1"/>
    <col min="6" max="6" width="13.28515625" bestFit="1" customWidth="1"/>
    <col min="7" max="7" width="11.42578125" bestFit="1" customWidth="1"/>
    <col min="8" max="8" width="11" bestFit="1" customWidth="1"/>
    <col min="9" max="9" width="16.42578125" bestFit="1" customWidth="1"/>
    <col min="10" max="10" width="18.7109375" bestFit="1" customWidth="1"/>
    <col min="11" max="11" width="9.5703125" bestFit="1" customWidth="1"/>
    <col min="12" max="12" width="11.7109375" bestFit="1" customWidth="1"/>
    <col min="13" max="13" width="14.85546875" bestFit="1" customWidth="1"/>
    <col min="14" max="14" width="13" bestFit="1" customWidth="1"/>
    <col min="15" max="15" width="11" bestFit="1" customWidth="1"/>
    <col min="16" max="16" width="16" bestFit="1" customWidth="1"/>
    <col min="17" max="17" width="10.42578125" bestFit="1" customWidth="1"/>
    <col min="18" max="18" width="15.42578125" bestFit="1" customWidth="1"/>
    <col min="19" max="19" width="16.42578125" bestFit="1" customWidth="1"/>
    <col min="20" max="20" width="13.140625" bestFit="1" customWidth="1"/>
    <col min="21" max="21" width="14.28515625" bestFit="1" customWidth="1"/>
    <col min="22" max="22" width="8.42578125" customWidth="1"/>
    <col min="23" max="23" width="13.7109375" bestFit="1" customWidth="1"/>
    <col min="24" max="24" width="14.28515625" bestFit="1" customWidth="1"/>
    <col min="25" max="25" width="10.85546875" bestFit="1" customWidth="1"/>
    <col min="26" max="26" width="8.140625" customWidth="1"/>
  </cols>
  <sheetData>
    <row r="1" spans="1:2" x14ac:dyDescent="0.25">
      <c r="A1" s="23" t="s">
        <v>1053</v>
      </c>
      <c r="B1" s="24" t="s">
        <v>1057</v>
      </c>
    </row>
    <row r="3" spans="1:2" x14ac:dyDescent="0.25">
      <c r="A3" s="23" t="s">
        <v>1056</v>
      </c>
      <c r="B3" s="26" t="s">
        <v>1074</v>
      </c>
    </row>
    <row r="4" spans="1:2" x14ac:dyDescent="0.25">
      <c r="A4" s="25" t="s">
        <v>32</v>
      </c>
      <c r="B4" s="33">
        <v>138</v>
      </c>
    </row>
    <row r="5" spans="1:2" x14ac:dyDescent="0.25">
      <c r="A5" s="25" t="s">
        <v>11</v>
      </c>
      <c r="B5" s="24">
        <v>117</v>
      </c>
    </row>
    <row r="6" spans="1:2" x14ac:dyDescent="0.25">
      <c r="A6" s="25" t="s">
        <v>28</v>
      </c>
      <c r="B6" s="24">
        <v>114</v>
      </c>
    </row>
    <row r="7" spans="1:2" x14ac:dyDescent="0.25">
      <c r="A7" s="25" t="s">
        <v>16</v>
      </c>
      <c r="B7" s="24">
        <v>102</v>
      </c>
    </row>
    <row r="8" spans="1:2" x14ac:dyDescent="0.25">
      <c r="A8" s="25" t="s">
        <v>45</v>
      </c>
      <c r="B8" s="24">
        <v>100</v>
      </c>
    </row>
    <row r="9" spans="1:2" x14ac:dyDescent="0.25">
      <c r="A9" s="25" t="s">
        <v>34</v>
      </c>
      <c r="B9" s="24">
        <v>91</v>
      </c>
    </row>
    <row r="10" spans="1:2" x14ac:dyDescent="0.25">
      <c r="A10" s="25" t="s">
        <v>25</v>
      </c>
      <c r="B10" s="24">
        <v>90</v>
      </c>
    </row>
    <row r="11" spans="1:2" x14ac:dyDescent="0.25">
      <c r="A11" s="25" t="s">
        <v>21</v>
      </c>
      <c r="B11" s="24">
        <v>86</v>
      </c>
    </row>
    <row r="12" spans="1:2" x14ac:dyDescent="0.25">
      <c r="A12" s="25" t="s">
        <v>97</v>
      </c>
      <c r="B12" s="24">
        <v>84</v>
      </c>
    </row>
    <row r="13" spans="1:2" x14ac:dyDescent="0.25">
      <c r="A13" s="25" t="s">
        <v>38</v>
      </c>
      <c r="B13" s="34">
        <v>78</v>
      </c>
    </row>
    <row r="14" spans="1:2" x14ac:dyDescent="0.25">
      <c r="B14"/>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6"/>
  <sheetViews>
    <sheetView workbookViewId="0">
      <selection activeCell="B3" sqref="B3"/>
    </sheetView>
  </sheetViews>
  <sheetFormatPr defaultRowHeight="15" x14ac:dyDescent="0.25"/>
  <cols>
    <col min="1" max="1" width="17.28515625" bestFit="1" customWidth="1"/>
    <col min="2" max="2" width="16.85546875" bestFit="1" customWidth="1"/>
    <col min="3" max="3" width="5" bestFit="1" customWidth="1"/>
    <col min="4" max="4" width="11.42578125" bestFit="1" customWidth="1"/>
  </cols>
  <sheetData>
    <row r="3" spans="1:3" x14ac:dyDescent="0.25">
      <c r="A3" s="6" t="s">
        <v>1074</v>
      </c>
      <c r="B3" s="6" t="s">
        <v>1059</v>
      </c>
    </row>
    <row r="4" spans="1:3" x14ac:dyDescent="0.25">
      <c r="A4" s="6" t="s">
        <v>1056</v>
      </c>
      <c r="B4" t="s">
        <v>1058</v>
      </c>
      <c r="C4" t="s">
        <v>1072</v>
      </c>
    </row>
    <row r="5" spans="1:3" x14ac:dyDescent="0.25">
      <c r="A5" s="7" t="s">
        <v>1060</v>
      </c>
      <c r="B5">
        <v>42</v>
      </c>
      <c r="C5">
        <v>41</v>
      </c>
    </row>
    <row r="6" spans="1:3" x14ac:dyDescent="0.25">
      <c r="A6" s="7" t="s">
        <v>1061</v>
      </c>
      <c r="B6" s="31">
        <v>32</v>
      </c>
      <c r="C6">
        <v>38</v>
      </c>
    </row>
    <row r="7" spans="1:3" x14ac:dyDescent="0.25">
      <c r="A7" s="7" t="s">
        <v>1062</v>
      </c>
      <c r="B7">
        <v>46</v>
      </c>
      <c r="C7">
        <v>36</v>
      </c>
    </row>
    <row r="8" spans="1:3" x14ac:dyDescent="0.25">
      <c r="A8" s="7" t="s">
        <v>1063</v>
      </c>
      <c r="B8">
        <v>44</v>
      </c>
      <c r="C8">
        <v>39</v>
      </c>
    </row>
    <row r="9" spans="1:3" x14ac:dyDescent="0.25">
      <c r="A9" s="7" t="s">
        <v>1064</v>
      </c>
      <c r="B9">
        <v>46</v>
      </c>
      <c r="C9">
        <v>41</v>
      </c>
    </row>
    <row r="10" spans="1:3" x14ac:dyDescent="0.25">
      <c r="A10" s="7" t="s">
        <v>1065</v>
      </c>
      <c r="B10" s="32">
        <v>51</v>
      </c>
      <c r="C10">
        <v>37</v>
      </c>
    </row>
    <row r="11" spans="1:3" x14ac:dyDescent="0.25">
      <c r="A11" s="7" t="s">
        <v>1066</v>
      </c>
      <c r="B11">
        <v>40</v>
      </c>
      <c r="C11">
        <v>31</v>
      </c>
    </row>
    <row r="12" spans="1:3" x14ac:dyDescent="0.25">
      <c r="A12" s="7" t="s">
        <v>1067</v>
      </c>
      <c r="B12">
        <v>34</v>
      </c>
      <c r="C12">
        <v>41</v>
      </c>
    </row>
    <row r="13" spans="1:3" x14ac:dyDescent="0.25">
      <c r="A13" s="7" t="s">
        <v>1068</v>
      </c>
      <c r="B13">
        <v>46</v>
      </c>
      <c r="C13">
        <v>51</v>
      </c>
    </row>
    <row r="14" spans="1:3" x14ac:dyDescent="0.25">
      <c r="A14" s="7" t="s">
        <v>1069</v>
      </c>
      <c r="B14">
        <v>45</v>
      </c>
      <c r="C14" s="32">
        <v>58</v>
      </c>
    </row>
    <row r="15" spans="1:3" x14ac:dyDescent="0.25">
      <c r="A15" s="7" t="s">
        <v>1070</v>
      </c>
      <c r="B15">
        <v>46</v>
      </c>
      <c r="C15">
        <v>41</v>
      </c>
    </row>
    <row r="16" spans="1:3" x14ac:dyDescent="0.25">
      <c r="A16" s="7" t="s">
        <v>1071</v>
      </c>
      <c r="B16">
        <v>43</v>
      </c>
      <c r="C16" s="31">
        <v>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workbookViewId="0">
      <selection activeCell="A3" sqref="A3:B7"/>
    </sheetView>
  </sheetViews>
  <sheetFormatPr defaultRowHeight="15" x14ac:dyDescent="0.25"/>
  <cols>
    <col min="1" max="1" width="13.42578125" bestFit="1" customWidth="1"/>
    <col min="2" max="2" width="19.140625" bestFit="1" customWidth="1"/>
  </cols>
  <sheetData>
    <row r="1" spans="1:2" x14ac:dyDescent="0.25">
      <c r="A1" s="6" t="s">
        <v>1052</v>
      </c>
      <c r="B1" t="s">
        <v>1057</v>
      </c>
    </row>
    <row r="3" spans="1:2" x14ac:dyDescent="0.25">
      <c r="A3" s="6" t="s">
        <v>1056</v>
      </c>
      <c r="B3" s="8" t="s">
        <v>1055</v>
      </c>
    </row>
    <row r="4" spans="1:2" x14ac:dyDescent="0.25">
      <c r="A4" s="19" t="s">
        <v>14</v>
      </c>
      <c r="B4" s="17">
        <v>0.66380639897362059</v>
      </c>
    </row>
    <row r="5" spans="1:2" x14ac:dyDescent="0.25">
      <c r="A5" s="7" t="s">
        <v>23</v>
      </c>
      <c r="B5" s="10">
        <v>0.15010513790022681</v>
      </c>
    </row>
    <row r="6" spans="1:2" x14ac:dyDescent="0.25">
      <c r="A6" s="7" t="s">
        <v>67</v>
      </c>
      <c r="B6" s="10">
        <v>9.374502169619929E-2</v>
      </c>
    </row>
    <row r="7" spans="1:2" x14ac:dyDescent="0.25">
      <c r="A7" s="7" t="s">
        <v>19</v>
      </c>
      <c r="B7" s="10">
        <v>9.234344142995328E-2</v>
      </c>
    </row>
    <row r="19" spans="4:10" x14ac:dyDescent="0.25">
      <c r="D19" s="35" t="s">
        <v>1078</v>
      </c>
      <c r="E19" s="35"/>
      <c r="F19" s="35"/>
      <c r="G19" s="35"/>
      <c r="H19" s="35"/>
      <c r="I19" s="35"/>
      <c r="J19" s="35"/>
    </row>
  </sheetData>
  <mergeCells count="1">
    <mergeCell ref="D19:J19"/>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23"/>
  <sheetViews>
    <sheetView workbookViewId="0">
      <selection activeCell="A3" sqref="A3:B7"/>
    </sheetView>
  </sheetViews>
  <sheetFormatPr defaultRowHeight="15" x14ac:dyDescent="0.25"/>
  <cols>
    <col min="1" max="1" width="13.42578125" bestFit="1" customWidth="1"/>
    <col min="2" max="2" width="26.5703125" bestFit="1" customWidth="1"/>
    <col min="3" max="3" width="9.5703125" customWidth="1"/>
    <col min="4" max="4" width="7.85546875" customWidth="1"/>
    <col min="5" max="5" width="5.140625" customWidth="1"/>
    <col min="6" max="6" width="15" bestFit="1" customWidth="1"/>
    <col min="7" max="7" width="11.7109375" bestFit="1" customWidth="1"/>
    <col min="8" max="8" width="14.42578125" bestFit="1" customWidth="1"/>
    <col min="9" max="9" width="11.42578125" bestFit="1" customWidth="1"/>
    <col min="10" max="10" width="9.5703125" customWidth="1"/>
    <col min="11" max="11" width="6.85546875" customWidth="1"/>
  </cols>
  <sheetData>
    <row r="3" spans="1:2" x14ac:dyDescent="0.25">
      <c r="A3" s="6" t="s">
        <v>1056</v>
      </c>
      <c r="B3" t="s">
        <v>1075</v>
      </c>
    </row>
    <row r="4" spans="1:2" x14ac:dyDescent="0.25">
      <c r="A4" s="19" t="s">
        <v>23</v>
      </c>
      <c r="B4" s="20">
        <v>3.9842105263157896</v>
      </c>
    </row>
    <row r="5" spans="1:2" x14ac:dyDescent="0.25">
      <c r="A5" s="7" t="s">
        <v>19</v>
      </c>
      <c r="B5" s="9">
        <v>3.9292929292929295</v>
      </c>
    </row>
    <row r="6" spans="1:2" x14ac:dyDescent="0.25">
      <c r="A6" s="7" t="s">
        <v>67</v>
      </c>
      <c r="B6" s="9">
        <v>3.8978102189781021</v>
      </c>
    </row>
    <row r="7" spans="1:2" x14ac:dyDescent="0.25">
      <c r="A7" s="7" t="s">
        <v>14</v>
      </c>
      <c r="B7" s="9">
        <v>3.8926315789473684</v>
      </c>
    </row>
    <row r="23" spans="6:6" x14ac:dyDescent="0.25">
      <c r="F23" s="28"/>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6"/>
  <sheetViews>
    <sheetView workbookViewId="0">
      <selection activeCell="A3" sqref="A3:B6"/>
    </sheetView>
  </sheetViews>
  <sheetFormatPr defaultRowHeight="15" x14ac:dyDescent="0.25"/>
  <cols>
    <col min="1" max="1" width="13.42578125" bestFit="1" customWidth="1"/>
    <col min="2" max="2" width="15.5703125" bestFit="1" customWidth="1"/>
    <col min="3" max="3" width="4.85546875" customWidth="1"/>
    <col min="4" max="4" width="11.42578125" bestFit="1" customWidth="1"/>
  </cols>
  <sheetData>
    <row r="3" spans="1:2" x14ac:dyDescent="0.25">
      <c r="A3" s="6" t="s">
        <v>1056</v>
      </c>
      <c r="B3" t="s">
        <v>1073</v>
      </c>
    </row>
    <row r="4" spans="1:2" x14ac:dyDescent="0.25">
      <c r="A4" s="7" t="s">
        <v>12</v>
      </c>
      <c r="B4">
        <v>566</v>
      </c>
    </row>
    <row r="5" spans="1:2" x14ac:dyDescent="0.25">
      <c r="A5" s="7" t="s">
        <v>29</v>
      </c>
      <c r="B5" s="32">
        <v>736</v>
      </c>
    </row>
    <row r="6" spans="1:2" x14ac:dyDescent="0.25">
      <c r="A6" s="7" t="s">
        <v>17</v>
      </c>
      <c r="B6">
        <v>453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1"/>
  <sheetViews>
    <sheetView workbookViewId="0">
      <selection sqref="A1:M41"/>
    </sheetView>
  </sheetViews>
  <sheetFormatPr defaultRowHeight="15" x14ac:dyDescent="0.25"/>
  <cols>
    <col min="1" max="1" width="15.5703125" customWidth="1"/>
    <col min="2" max="2" width="12.5703125" customWidth="1"/>
    <col min="5" max="5" width="20.5703125" customWidth="1"/>
    <col min="6" max="6" width="12.85546875" customWidth="1"/>
    <col min="7" max="7" width="12" customWidth="1"/>
    <col min="8" max="8" width="10.7109375" customWidth="1"/>
    <col min="9" max="9" width="10.140625" customWidth="1"/>
    <col min="10" max="10" width="11.42578125" customWidth="1"/>
    <col min="11" max="11" width="13" customWidth="1"/>
    <col min="12" max="12" width="17.5703125" customWidth="1"/>
    <col min="13" max="13" width="12.7109375" customWidth="1"/>
  </cols>
  <sheetData>
    <row r="1" spans="1:13" x14ac:dyDescent="0.25">
      <c r="A1" t="s">
        <v>1081</v>
      </c>
      <c r="B1" t="s">
        <v>1</v>
      </c>
      <c r="C1" t="s">
        <v>1052</v>
      </c>
      <c r="D1" t="s">
        <v>1053</v>
      </c>
      <c r="E1" t="s">
        <v>2</v>
      </c>
      <c r="F1" t="s">
        <v>3</v>
      </c>
      <c r="G1" t="s">
        <v>4</v>
      </c>
      <c r="H1" t="s">
        <v>5</v>
      </c>
      <c r="I1" t="s">
        <v>6</v>
      </c>
      <c r="J1" t="s">
        <v>7</v>
      </c>
      <c r="K1" t="s">
        <v>8</v>
      </c>
      <c r="L1" t="s">
        <v>9</v>
      </c>
      <c r="M1" t="s">
        <v>1054</v>
      </c>
    </row>
    <row r="2" spans="1:13" x14ac:dyDescent="0.25">
      <c r="A2" t="s">
        <v>10</v>
      </c>
      <c r="B2" s="18">
        <v>45478</v>
      </c>
      <c r="C2" t="s">
        <v>1066</v>
      </c>
      <c r="D2" t="s">
        <v>1058</v>
      </c>
      <c r="E2" t="s">
        <v>11</v>
      </c>
      <c r="F2" t="s">
        <v>12</v>
      </c>
      <c r="G2" t="s">
        <v>13</v>
      </c>
      <c r="H2" t="s">
        <v>14</v>
      </c>
      <c r="I2">
        <v>2</v>
      </c>
      <c r="J2">
        <v>18.989999999999998</v>
      </c>
      <c r="K2">
        <v>37.979999999999997</v>
      </c>
      <c r="L2">
        <v>4</v>
      </c>
      <c r="M2" t="s">
        <v>1079</v>
      </c>
    </row>
    <row r="3" spans="1:13" x14ac:dyDescent="0.25">
      <c r="A3" t="s">
        <v>1044</v>
      </c>
      <c r="B3" s="18">
        <v>45481</v>
      </c>
      <c r="C3" t="s">
        <v>1066</v>
      </c>
      <c r="D3" t="s">
        <v>1058</v>
      </c>
      <c r="E3" t="s">
        <v>28</v>
      </c>
      <c r="F3" t="s">
        <v>29</v>
      </c>
      <c r="G3" t="s">
        <v>57</v>
      </c>
      <c r="H3" t="s">
        <v>14</v>
      </c>
      <c r="I3">
        <v>2</v>
      </c>
      <c r="J3">
        <v>15.99</v>
      </c>
      <c r="K3">
        <v>31.98</v>
      </c>
      <c r="L3">
        <v>2</v>
      </c>
      <c r="M3" t="s">
        <v>1080</v>
      </c>
    </row>
    <row r="4" spans="1:13" x14ac:dyDescent="0.25">
      <c r="A4" t="s">
        <v>1020</v>
      </c>
      <c r="B4" s="18">
        <v>45480</v>
      </c>
      <c r="C4" t="s">
        <v>1066</v>
      </c>
      <c r="D4" t="s">
        <v>1058</v>
      </c>
      <c r="E4" t="s">
        <v>16</v>
      </c>
      <c r="F4" t="s">
        <v>29</v>
      </c>
      <c r="G4" t="s">
        <v>13</v>
      </c>
      <c r="H4" t="s">
        <v>14</v>
      </c>
      <c r="I4">
        <v>2</v>
      </c>
      <c r="J4">
        <v>18.989999999999998</v>
      </c>
      <c r="K4">
        <v>37.979999999999997</v>
      </c>
      <c r="L4">
        <v>5</v>
      </c>
      <c r="M4" t="s">
        <v>1079</v>
      </c>
    </row>
    <row r="5" spans="1:13" x14ac:dyDescent="0.25">
      <c r="A5" t="s">
        <v>1003</v>
      </c>
      <c r="B5" s="18">
        <v>45491</v>
      </c>
      <c r="C5" t="s">
        <v>1066</v>
      </c>
      <c r="D5" t="s">
        <v>1058</v>
      </c>
      <c r="E5" t="s">
        <v>45</v>
      </c>
      <c r="F5" t="s">
        <v>29</v>
      </c>
      <c r="G5" t="s">
        <v>176</v>
      </c>
      <c r="H5" t="s">
        <v>67</v>
      </c>
      <c r="I5">
        <v>2</v>
      </c>
      <c r="J5">
        <v>11.99</v>
      </c>
      <c r="K5">
        <v>23.98</v>
      </c>
      <c r="L5">
        <v>3</v>
      </c>
      <c r="M5" t="s">
        <v>1079</v>
      </c>
    </row>
    <row r="6" spans="1:13" x14ac:dyDescent="0.25">
      <c r="A6" t="s">
        <v>974</v>
      </c>
      <c r="B6" s="18">
        <v>45492</v>
      </c>
      <c r="C6" t="s">
        <v>1066</v>
      </c>
      <c r="D6" t="s">
        <v>1058</v>
      </c>
      <c r="E6" t="s">
        <v>25</v>
      </c>
      <c r="F6" t="s">
        <v>12</v>
      </c>
      <c r="G6" t="s">
        <v>83</v>
      </c>
      <c r="H6" t="s">
        <v>14</v>
      </c>
      <c r="I6">
        <v>1</v>
      </c>
      <c r="J6">
        <v>17.989999999999998</v>
      </c>
      <c r="K6">
        <v>17.989999999999998</v>
      </c>
      <c r="L6">
        <v>1</v>
      </c>
      <c r="M6" t="s">
        <v>1080</v>
      </c>
    </row>
    <row r="7" spans="1:13" x14ac:dyDescent="0.25">
      <c r="A7" t="s">
        <v>965</v>
      </c>
      <c r="B7" s="18">
        <v>45482</v>
      </c>
      <c r="C7" t="s">
        <v>1066</v>
      </c>
      <c r="D7" t="s">
        <v>1058</v>
      </c>
      <c r="E7" t="s">
        <v>11</v>
      </c>
      <c r="F7" t="s">
        <v>29</v>
      </c>
      <c r="G7" t="s">
        <v>50</v>
      </c>
      <c r="H7" t="s">
        <v>14</v>
      </c>
      <c r="I7">
        <v>3</v>
      </c>
      <c r="J7">
        <v>22.99</v>
      </c>
      <c r="K7">
        <v>68.97</v>
      </c>
      <c r="L7">
        <v>4</v>
      </c>
      <c r="M7" t="s">
        <v>1079</v>
      </c>
    </row>
    <row r="8" spans="1:13" x14ac:dyDescent="0.25">
      <c r="A8" t="s">
        <v>947</v>
      </c>
      <c r="B8" s="18">
        <v>45498</v>
      </c>
      <c r="C8" t="s">
        <v>1066</v>
      </c>
      <c r="D8" t="s">
        <v>1058</v>
      </c>
      <c r="E8" t="s">
        <v>38</v>
      </c>
      <c r="F8" t="s">
        <v>12</v>
      </c>
      <c r="G8" t="s">
        <v>74</v>
      </c>
      <c r="H8" t="s">
        <v>14</v>
      </c>
      <c r="I8">
        <v>1</v>
      </c>
      <c r="J8">
        <v>14.99</v>
      </c>
      <c r="K8">
        <v>14.99</v>
      </c>
      <c r="L8">
        <v>5</v>
      </c>
      <c r="M8" t="s">
        <v>1079</v>
      </c>
    </row>
    <row r="9" spans="1:13" x14ac:dyDescent="0.25">
      <c r="A9" t="s">
        <v>855</v>
      </c>
      <c r="B9" s="18">
        <v>45479</v>
      </c>
      <c r="C9" t="s">
        <v>1066</v>
      </c>
      <c r="D9" t="s">
        <v>1058</v>
      </c>
      <c r="E9" t="s">
        <v>45</v>
      </c>
      <c r="F9" t="s">
        <v>29</v>
      </c>
      <c r="G9" t="s">
        <v>79</v>
      </c>
      <c r="H9" t="s">
        <v>67</v>
      </c>
      <c r="I9">
        <v>1</v>
      </c>
      <c r="J9">
        <v>10.99</v>
      </c>
      <c r="K9">
        <v>10.99</v>
      </c>
      <c r="L9">
        <v>3</v>
      </c>
      <c r="M9" t="s">
        <v>1079</v>
      </c>
    </row>
    <row r="10" spans="1:13" x14ac:dyDescent="0.25">
      <c r="A10" t="s">
        <v>825</v>
      </c>
      <c r="B10" s="18">
        <v>45477</v>
      </c>
      <c r="C10" t="s">
        <v>1066</v>
      </c>
      <c r="D10" t="s">
        <v>1058</v>
      </c>
      <c r="E10" t="s">
        <v>97</v>
      </c>
      <c r="F10" t="s">
        <v>17</v>
      </c>
      <c r="G10" t="s">
        <v>22</v>
      </c>
      <c r="H10" t="s">
        <v>23</v>
      </c>
      <c r="I10">
        <v>3</v>
      </c>
      <c r="J10">
        <v>8.99</v>
      </c>
      <c r="K10">
        <v>26.97</v>
      </c>
      <c r="L10">
        <v>3</v>
      </c>
      <c r="M10" t="s">
        <v>1079</v>
      </c>
    </row>
    <row r="11" spans="1:13" x14ac:dyDescent="0.25">
      <c r="A11" t="s">
        <v>792</v>
      </c>
      <c r="B11" s="18">
        <v>45479</v>
      </c>
      <c r="C11" t="s">
        <v>1066</v>
      </c>
      <c r="D11" t="s">
        <v>1058</v>
      </c>
      <c r="E11" t="s">
        <v>16</v>
      </c>
      <c r="F11" t="s">
        <v>29</v>
      </c>
      <c r="G11" t="s">
        <v>83</v>
      </c>
      <c r="H11" t="s">
        <v>14</v>
      </c>
      <c r="I11">
        <v>1</v>
      </c>
      <c r="J11">
        <v>17.989999999999998</v>
      </c>
      <c r="K11">
        <v>17.989999999999998</v>
      </c>
      <c r="L11">
        <v>5</v>
      </c>
      <c r="M11" t="s">
        <v>1079</v>
      </c>
    </row>
    <row r="12" spans="1:13" x14ac:dyDescent="0.25">
      <c r="A12" t="s">
        <v>787</v>
      </c>
      <c r="B12" s="18">
        <v>45479</v>
      </c>
      <c r="C12" t="s">
        <v>1066</v>
      </c>
      <c r="D12" t="s">
        <v>1058</v>
      </c>
      <c r="E12" t="s">
        <v>25</v>
      </c>
      <c r="F12" t="s">
        <v>29</v>
      </c>
      <c r="G12" t="s">
        <v>119</v>
      </c>
      <c r="H12" t="s">
        <v>19</v>
      </c>
      <c r="I12">
        <v>1</v>
      </c>
      <c r="J12">
        <v>4.99</v>
      </c>
      <c r="K12">
        <v>4.99</v>
      </c>
      <c r="L12">
        <v>5</v>
      </c>
      <c r="M12" t="s">
        <v>1079</v>
      </c>
    </row>
    <row r="13" spans="1:13" x14ac:dyDescent="0.25">
      <c r="A13" t="s">
        <v>762</v>
      </c>
      <c r="B13" s="18">
        <v>45498</v>
      </c>
      <c r="C13" t="s">
        <v>1066</v>
      </c>
      <c r="D13" t="s">
        <v>1058</v>
      </c>
      <c r="E13" t="s">
        <v>28</v>
      </c>
      <c r="F13" t="s">
        <v>29</v>
      </c>
      <c r="G13" t="s">
        <v>74</v>
      </c>
      <c r="H13" t="s">
        <v>14</v>
      </c>
      <c r="I13">
        <v>2</v>
      </c>
      <c r="J13">
        <v>14.99</v>
      </c>
      <c r="K13">
        <v>29.98</v>
      </c>
      <c r="L13">
        <v>4</v>
      </c>
      <c r="M13" t="s">
        <v>1079</v>
      </c>
    </row>
    <row r="14" spans="1:13" x14ac:dyDescent="0.25">
      <c r="A14" t="s">
        <v>757</v>
      </c>
      <c r="B14" s="18">
        <v>45490</v>
      </c>
      <c r="C14" t="s">
        <v>1066</v>
      </c>
      <c r="D14" t="s">
        <v>1058</v>
      </c>
      <c r="E14" t="s">
        <v>25</v>
      </c>
      <c r="F14" t="s">
        <v>12</v>
      </c>
      <c r="G14" t="s">
        <v>142</v>
      </c>
      <c r="H14" t="s">
        <v>23</v>
      </c>
      <c r="I14">
        <v>1</v>
      </c>
      <c r="J14">
        <v>14.99</v>
      </c>
      <c r="K14">
        <v>14.99</v>
      </c>
      <c r="L14">
        <v>4</v>
      </c>
      <c r="M14" t="s">
        <v>1079</v>
      </c>
    </row>
    <row r="15" spans="1:13" x14ac:dyDescent="0.25">
      <c r="A15" t="s">
        <v>756</v>
      </c>
      <c r="B15" s="18">
        <v>45489</v>
      </c>
      <c r="C15" t="s">
        <v>1066</v>
      </c>
      <c r="D15" t="s">
        <v>1058</v>
      </c>
      <c r="E15" t="s">
        <v>32</v>
      </c>
      <c r="F15" t="s">
        <v>29</v>
      </c>
      <c r="G15" t="s">
        <v>176</v>
      </c>
      <c r="H15" t="s">
        <v>67</v>
      </c>
      <c r="I15">
        <v>2</v>
      </c>
      <c r="J15">
        <v>11.99</v>
      </c>
      <c r="K15">
        <v>23.98</v>
      </c>
      <c r="L15">
        <v>5</v>
      </c>
      <c r="M15" t="s">
        <v>1079</v>
      </c>
    </row>
    <row r="16" spans="1:13" x14ac:dyDescent="0.25">
      <c r="A16" t="s">
        <v>643</v>
      </c>
      <c r="B16" s="18">
        <v>45496</v>
      </c>
      <c r="C16" t="s">
        <v>1066</v>
      </c>
      <c r="D16" t="s">
        <v>1058</v>
      </c>
      <c r="E16" t="s">
        <v>21</v>
      </c>
      <c r="F16" t="s">
        <v>12</v>
      </c>
      <c r="G16" t="s">
        <v>13</v>
      </c>
      <c r="H16" t="s">
        <v>14</v>
      </c>
      <c r="I16">
        <v>3</v>
      </c>
      <c r="J16">
        <v>18.989999999999998</v>
      </c>
      <c r="K16">
        <v>56.97</v>
      </c>
      <c r="L16">
        <v>4</v>
      </c>
      <c r="M16" t="s">
        <v>1079</v>
      </c>
    </row>
    <row r="17" spans="1:13" x14ac:dyDescent="0.25">
      <c r="A17" t="s">
        <v>606</v>
      </c>
      <c r="B17" s="18">
        <v>45480</v>
      </c>
      <c r="C17" t="s">
        <v>1066</v>
      </c>
      <c r="D17" t="s">
        <v>1058</v>
      </c>
      <c r="E17" t="s">
        <v>21</v>
      </c>
      <c r="F17" t="s">
        <v>17</v>
      </c>
      <c r="G17" t="s">
        <v>18</v>
      </c>
      <c r="H17" t="s">
        <v>19</v>
      </c>
      <c r="I17">
        <v>3</v>
      </c>
      <c r="J17">
        <v>9.99</v>
      </c>
      <c r="K17">
        <v>29.97</v>
      </c>
      <c r="L17">
        <v>4</v>
      </c>
      <c r="M17" t="s">
        <v>1079</v>
      </c>
    </row>
    <row r="18" spans="1:13" x14ac:dyDescent="0.25">
      <c r="A18" t="s">
        <v>605</v>
      </c>
      <c r="B18" s="18">
        <v>45486</v>
      </c>
      <c r="C18" t="s">
        <v>1066</v>
      </c>
      <c r="D18" t="s">
        <v>1058</v>
      </c>
      <c r="E18" t="s">
        <v>28</v>
      </c>
      <c r="F18" t="s">
        <v>29</v>
      </c>
      <c r="G18" t="s">
        <v>57</v>
      </c>
      <c r="H18" t="s">
        <v>14</v>
      </c>
      <c r="I18">
        <v>3</v>
      </c>
      <c r="J18">
        <v>15.99</v>
      </c>
      <c r="K18">
        <v>47.97</v>
      </c>
      <c r="L18">
        <v>4</v>
      </c>
      <c r="M18" t="s">
        <v>1079</v>
      </c>
    </row>
    <row r="19" spans="1:13" x14ac:dyDescent="0.25">
      <c r="A19" t="s">
        <v>591</v>
      </c>
      <c r="B19" s="18">
        <v>45490</v>
      </c>
      <c r="C19" t="s">
        <v>1066</v>
      </c>
      <c r="D19" t="s">
        <v>1058</v>
      </c>
      <c r="E19" t="s">
        <v>21</v>
      </c>
      <c r="F19" t="s">
        <v>12</v>
      </c>
      <c r="G19" t="s">
        <v>30</v>
      </c>
      <c r="H19" t="s">
        <v>19</v>
      </c>
      <c r="I19">
        <v>3</v>
      </c>
      <c r="J19">
        <v>7.99</v>
      </c>
      <c r="K19">
        <v>23.97</v>
      </c>
      <c r="L19">
        <v>3</v>
      </c>
      <c r="M19" t="s">
        <v>1079</v>
      </c>
    </row>
    <row r="20" spans="1:13" x14ac:dyDescent="0.25">
      <c r="A20" t="s">
        <v>573</v>
      </c>
      <c r="B20" s="18">
        <v>45490</v>
      </c>
      <c r="C20" t="s">
        <v>1066</v>
      </c>
      <c r="D20" t="s">
        <v>1058</v>
      </c>
      <c r="E20" t="s">
        <v>11</v>
      </c>
      <c r="F20" t="s">
        <v>29</v>
      </c>
      <c r="G20" t="s">
        <v>74</v>
      </c>
      <c r="H20" t="s">
        <v>14</v>
      </c>
      <c r="I20">
        <v>3</v>
      </c>
      <c r="J20">
        <v>14.99</v>
      </c>
      <c r="K20">
        <v>44.97</v>
      </c>
      <c r="L20">
        <v>4</v>
      </c>
      <c r="M20" t="s">
        <v>1079</v>
      </c>
    </row>
    <row r="21" spans="1:13" x14ac:dyDescent="0.25">
      <c r="A21" t="s">
        <v>571</v>
      </c>
      <c r="B21" s="18">
        <v>45487</v>
      </c>
      <c r="C21" t="s">
        <v>1066</v>
      </c>
      <c r="D21" t="s">
        <v>1058</v>
      </c>
      <c r="E21" t="s">
        <v>38</v>
      </c>
      <c r="F21" t="s">
        <v>12</v>
      </c>
      <c r="G21" t="s">
        <v>57</v>
      </c>
      <c r="H21" t="s">
        <v>14</v>
      </c>
      <c r="I21">
        <v>2</v>
      </c>
      <c r="J21">
        <v>15.99</v>
      </c>
      <c r="K21">
        <v>31.98</v>
      </c>
      <c r="L21">
        <v>3</v>
      </c>
      <c r="M21" t="s">
        <v>1079</v>
      </c>
    </row>
    <row r="22" spans="1:13" x14ac:dyDescent="0.25">
      <c r="A22" t="s">
        <v>570</v>
      </c>
      <c r="B22" s="18">
        <v>45503</v>
      </c>
      <c r="C22" t="s">
        <v>1066</v>
      </c>
      <c r="D22" t="s">
        <v>1058</v>
      </c>
      <c r="E22" t="s">
        <v>28</v>
      </c>
      <c r="F22" t="s">
        <v>17</v>
      </c>
      <c r="G22" t="s">
        <v>43</v>
      </c>
      <c r="H22" t="s">
        <v>23</v>
      </c>
      <c r="I22">
        <v>3</v>
      </c>
      <c r="J22">
        <v>11.99</v>
      </c>
      <c r="K22">
        <v>35.97</v>
      </c>
      <c r="L22">
        <v>4</v>
      </c>
      <c r="M22" t="s">
        <v>1079</v>
      </c>
    </row>
    <row r="23" spans="1:13" x14ac:dyDescent="0.25">
      <c r="A23" t="s">
        <v>526</v>
      </c>
      <c r="B23" s="18">
        <v>45493</v>
      </c>
      <c r="C23" t="s">
        <v>1066</v>
      </c>
      <c r="D23" t="s">
        <v>1058</v>
      </c>
      <c r="E23" t="s">
        <v>11</v>
      </c>
      <c r="F23" t="s">
        <v>17</v>
      </c>
      <c r="G23" t="s">
        <v>36</v>
      </c>
      <c r="H23" t="s">
        <v>14</v>
      </c>
      <c r="I23">
        <v>1</v>
      </c>
      <c r="J23">
        <v>16.989999999999998</v>
      </c>
      <c r="K23">
        <v>16.989999999999998</v>
      </c>
      <c r="L23">
        <v>4</v>
      </c>
      <c r="M23" t="s">
        <v>1079</v>
      </c>
    </row>
    <row r="24" spans="1:13" x14ac:dyDescent="0.25">
      <c r="A24" t="s">
        <v>468</v>
      </c>
      <c r="B24" s="18">
        <v>45499</v>
      </c>
      <c r="C24" t="s">
        <v>1066</v>
      </c>
      <c r="D24" t="s">
        <v>1058</v>
      </c>
      <c r="E24" t="s">
        <v>38</v>
      </c>
      <c r="F24" t="s">
        <v>29</v>
      </c>
      <c r="G24" t="s">
        <v>57</v>
      </c>
      <c r="H24" t="s">
        <v>14</v>
      </c>
      <c r="I24">
        <v>2</v>
      </c>
      <c r="J24">
        <v>15.99</v>
      </c>
      <c r="K24">
        <v>31.98</v>
      </c>
      <c r="L24">
        <v>5</v>
      </c>
      <c r="M24" t="s">
        <v>1079</v>
      </c>
    </row>
    <row r="25" spans="1:13" x14ac:dyDescent="0.25">
      <c r="A25" t="s">
        <v>464</v>
      </c>
      <c r="B25" s="18">
        <v>45488</v>
      </c>
      <c r="C25" t="s">
        <v>1066</v>
      </c>
      <c r="D25" t="s">
        <v>1058</v>
      </c>
      <c r="E25" t="s">
        <v>34</v>
      </c>
      <c r="F25" t="s">
        <v>17</v>
      </c>
      <c r="G25" t="s">
        <v>50</v>
      </c>
      <c r="H25" t="s">
        <v>14</v>
      </c>
      <c r="I25">
        <v>1</v>
      </c>
      <c r="J25">
        <v>22.99</v>
      </c>
      <c r="K25">
        <v>22.99</v>
      </c>
      <c r="L25">
        <v>2</v>
      </c>
      <c r="M25" t="s">
        <v>1080</v>
      </c>
    </row>
    <row r="26" spans="1:13" x14ac:dyDescent="0.25">
      <c r="A26" t="s">
        <v>64</v>
      </c>
      <c r="B26" s="18">
        <v>45484</v>
      </c>
      <c r="C26" t="s">
        <v>1066</v>
      </c>
      <c r="D26" t="s">
        <v>1058</v>
      </c>
      <c r="E26" t="s">
        <v>11</v>
      </c>
      <c r="F26" t="s">
        <v>29</v>
      </c>
      <c r="G26" t="s">
        <v>43</v>
      </c>
      <c r="H26" t="s">
        <v>23</v>
      </c>
      <c r="I26">
        <v>2</v>
      </c>
      <c r="J26">
        <v>11.99</v>
      </c>
      <c r="K26">
        <v>23.98</v>
      </c>
      <c r="L26">
        <v>4</v>
      </c>
      <c r="M26" t="s">
        <v>1079</v>
      </c>
    </row>
    <row r="27" spans="1:13" x14ac:dyDescent="0.25">
      <c r="A27" t="s">
        <v>459</v>
      </c>
      <c r="B27" s="18">
        <v>45479</v>
      </c>
      <c r="C27" t="s">
        <v>1066</v>
      </c>
      <c r="D27" t="s">
        <v>1058</v>
      </c>
      <c r="E27" t="s">
        <v>34</v>
      </c>
      <c r="F27" t="s">
        <v>12</v>
      </c>
      <c r="G27" t="s">
        <v>46</v>
      </c>
      <c r="H27" t="s">
        <v>14</v>
      </c>
      <c r="I27">
        <v>2</v>
      </c>
      <c r="J27">
        <v>32.99</v>
      </c>
      <c r="K27">
        <v>65.98</v>
      </c>
      <c r="L27">
        <v>5</v>
      </c>
      <c r="M27" t="s">
        <v>1079</v>
      </c>
    </row>
    <row r="28" spans="1:13" x14ac:dyDescent="0.25">
      <c r="A28" t="s">
        <v>450</v>
      </c>
      <c r="B28" s="18">
        <v>45495</v>
      </c>
      <c r="C28" t="s">
        <v>1066</v>
      </c>
      <c r="D28" t="s">
        <v>1058</v>
      </c>
      <c r="E28" t="s">
        <v>32</v>
      </c>
      <c r="F28" t="s">
        <v>17</v>
      </c>
      <c r="G28" t="s">
        <v>22</v>
      </c>
      <c r="H28" t="s">
        <v>23</v>
      </c>
      <c r="I28">
        <v>1</v>
      </c>
      <c r="J28">
        <v>8.99</v>
      </c>
      <c r="K28">
        <v>8.99</v>
      </c>
      <c r="L28">
        <v>3</v>
      </c>
      <c r="M28" t="s">
        <v>1079</v>
      </c>
    </row>
    <row r="29" spans="1:13" x14ac:dyDescent="0.25">
      <c r="A29" t="s">
        <v>408</v>
      </c>
      <c r="B29" s="18">
        <v>45478</v>
      </c>
      <c r="C29" t="s">
        <v>1066</v>
      </c>
      <c r="D29" t="s">
        <v>1058</v>
      </c>
      <c r="E29" t="s">
        <v>16</v>
      </c>
      <c r="F29" t="s">
        <v>29</v>
      </c>
      <c r="G29" t="s">
        <v>50</v>
      </c>
      <c r="H29" t="s">
        <v>14</v>
      </c>
      <c r="I29">
        <v>1</v>
      </c>
      <c r="J29">
        <v>22.99</v>
      </c>
      <c r="K29">
        <v>22.99</v>
      </c>
      <c r="L29">
        <v>4</v>
      </c>
      <c r="M29" t="s">
        <v>1079</v>
      </c>
    </row>
    <row r="30" spans="1:13" x14ac:dyDescent="0.25">
      <c r="A30" t="s">
        <v>377</v>
      </c>
      <c r="B30" s="18">
        <v>45478</v>
      </c>
      <c r="C30" t="s">
        <v>1066</v>
      </c>
      <c r="D30" t="s">
        <v>1058</v>
      </c>
      <c r="E30" t="s">
        <v>28</v>
      </c>
      <c r="F30" t="s">
        <v>17</v>
      </c>
      <c r="G30" t="s">
        <v>83</v>
      </c>
      <c r="H30" t="s">
        <v>14</v>
      </c>
      <c r="I30">
        <v>3</v>
      </c>
      <c r="J30">
        <v>17.989999999999998</v>
      </c>
      <c r="K30">
        <v>53.97</v>
      </c>
      <c r="L30">
        <v>5</v>
      </c>
      <c r="M30" t="s">
        <v>1079</v>
      </c>
    </row>
    <row r="31" spans="1:13" x14ac:dyDescent="0.25">
      <c r="A31" t="s">
        <v>302</v>
      </c>
      <c r="B31" s="18">
        <v>45490</v>
      </c>
      <c r="C31" t="s">
        <v>1066</v>
      </c>
      <c r="D31" t="s">
        <v>1058</v>
      </c>
      <c r="E31" t="s">
        <v>21</v>
      </c>
      <c r="F31" t="s">
        <v>17</v>
      </c>
      <c r="G31" t="s">
        <v>176</v>
      </c>
      <c r="H31" t="s">
        <v>67</v>
      </c>
      <c r="I31">
        <v>2</v>
      </c>
      <c r="J31">
        <v>11.99</v>
      </c>
      <c r="K31">
        <v>23.98</v>
      </c>
      <c r="L31">
        <v>4</v>
      </c>
      <c r="M31" t="s">
        <v>1079</v>
      </c>
    </row>
    <row r="32" spans="1:13" x14ac:dyDescent="0.25">
      <c r="A32" t="s">
        <v>297</v>
      </c>
      <c r="B32" s="18">
        <v>45493</v>
      </c>
      <c r="C32" t="s">
        <v>1066</v>
      </c>
      <c r="D32" t="s">
        <v>1058</v>
      </c>
      <c r="E32" t="s">
        <v>32</v>
      </c>
      <c r="F32" t="s">
        <v>12</v>
      </c>
      <c r="G32" t="s">
        <v>50</v>
      </c>
      <c r="H32" t="s">
        <v>14</v>
      </c>
      <c r="I32">
        <v>1</v>
      </c>
      <c r="J32">
        <v>22.99</v>
      </c>
      <c r="K32">
        <v>22.99</v>
      </c>
      <c r="L32">
        <v>4</v>
      </c>
      <c r="M32" t="s">
        <v>1079</v>
      </c>
    </row>
    <row r="33" spans="1:13" x14ac:dyDescent="0.25">
      <c r="A33" t="s">
        <v>226</v>
      </c>
      <c r="B33" s="18">
        <v>45479</v>
      </c>
      <c r="C33" t="s">
        <v>1066</v>
      </c>
      <c r="D33" t="s">
        <v>1058</v>
      </c>
      <c r="E33" t="s">
        <v>45</v>
      </c>
      <c r="F33" t="s">
        <v>12</v>
      </c>
      <c r="G33" t="s">
        <v>13</v>
      </c>
      <c r="H33" t="s">
        <v>14</v>
      </c>
      <c r="I33">
        <v>3</v>
      </c>
      <c r="J33">
        <v>18.989999999999998</v>
      </c>
      <c r="K33">
        <v>56.97</v>
      </c>
      <c r="L33">
        <v>5</v>
      </c>
      <c r="M33" t="s">
        <v>1079</v>
      </c>
    </row>
    <row r="34" spans="1:13" x14ac:dyDescent="0.25">
      <c r="A34" t="s">
        <v>197</v>
      </c>
      <c r="B34" s="18">
        <v>45498</v>
      </c>
      <c r="C34" t="s">
        <v>1066</v>
      </c>
      <c r="D34" t="s">
        <v>1058</v>
      </c>
      <c r="E34" t="s">
        <v>45</v>
      </c>
      <c r="F34" t="s">
        <v>29</v>
      </c>
      <c r="G34" t="s">
        <v>13</v>
      </c>
      <c r="H34" t="s">
        <v>14</v>
      </c>
      <c r="I34">
        <v>1</v>
      </c>
      <c r="J34">
        <v>18.989999999999998</v>
      </c>
      <c r="K34">
        <v>18.989999999999998</v>
      </c>
      <c r="L34">
        <v>4</v>
      </c>
      <c r="M34" t="s">
        <v>1079</v>
      </c>
    </row>
    <row r="35" spans="1:13" x14ac:dyDescent="0.25">
      <c r="A35" t="s">
        <v>179</v>
      </c>
      <c r="B35" s="18">
        <v>45492</v>
      </c>
      <c r="C35" t="s">
        <v>1066</v>
      </c>
      <c r="D35" t="s">
        <v>1058</v>
      </c>
      <c r="E35" t="s">
        <v>45</v>
      </c>
      <c r="F35" t="s">
        <v>29</v>
      </c>
      <c r="G35" t="s">
        <v>83</v>
      </c>
      <c r="H35" t="s">
        <v>14</v>
      </c>
      <c r="I35">
        <v>1</v>
      </c>
      <c r="J35">
        <v>17.989999999999998</v>
      </c>
      <c r="K35">
        <v>17.989999999999998</v>
      </c>
      <c r="L35">
        <v>5</v>
      </c>
      <c r="M35" t="s">
        <v>1079</v>
      </c>
    </row>
    <row r="36" spans="1:13" x14ac:dyDescent="0.25">
      <c r="A36" t="s">
        <v>178</v>
      </c>
      <c r="B36" s="18">
        <v>45493</v>
      </c>
      <c r="C36" t="s">
        <v>1066</v>
      </c>
      <c r="D36" t="s">
        <v>1058</v>
      </c>
      <c r="E36" t="s">
        <v>11</v>
      </c>
      <c r="F36" t="s">
        <v>29</v>
      </c>
      <c r="G36" t="s">
        <v>66</v>
      </c>
      <c r="H36" t="s">
        <v>67</v>
      </c>
      <c r="I36">
        <v>1</v>
      </c>
      <c r="J36">
        <v>7.99</v>
      </c>
      <c r="K36">
        <v>7.99</v>
      </c>
      <c r="L36">
        <v>5</v>
      </c>
      <c r="M36" t="s">
        <v>1079</v>
      </c>
    </row>
    <row r="37" spans="1:13" x14ac:dyDescent="0.25">
      <c r="A37" t="s">
        <v>165</v>
      </c>
      <c r="B37" s="18">
        <v>45500</v>
      </c>
      <c r="C37" t="s">
        <v>1066</v>
      </c>
      <c r="D37" t="s">
        <v>1058</v>
      </c>
      <c r="E37" t="s">
        <v>38</v>
      </c>
      <c r="F37" t="s">
        <v>29</v>
      </c>
      <c r="G37" t="s">
        <v>26</v>
      </c>
      <c r="H37" t="s">
        <v>19</v>
      </c>
      <c r="I37">
        <v>1</v>
      </c>
      <c r="J37">
        <v>3.49</v>
      </c>
      <c r="K37">
        <v>3.49</v>
      </c>
      <c r="L37">
        <v>5</v>
      </c>
      <c r="M37" t="s">
        <v>1079</v>
      </c>
    </row>
    <row r="38" spans="1:13" x14ac:dyDescent="0.25">
      <c r="A38" t="s">
        <v>157</v>
      </c>
      <c r="B38" s="18">
        <v>45486</v>
      </c>
      <c r="C38" t="s">
        <v>1066</v>
      </c>
      <c r="D38" t="s">
        <v>1058</v>
      </c>
      <c r="E38" t="s">
        <v>25</v>
      </c>
      <c r="F38" t="s">
        <v>12</v>
      </c>
      <c r="G38" t="s">
        <v>30</v>
      </c>
      <c r="H38" t="s">
        <v>19</v>
      </c>
      <c r="I38">
        <v>1</v>
      </c>
      <c r="J38">
        <v>7.99</v>
      </c>
      <c r="K38">
        <v>7.99</v>
      </c>
      <c r="L38">
        <v>3</v>
      </c>
      <c r="M38" t="s">
        <v>1079</v>
      </c>
    </row>
    <row r="39" spans="1:13" x14ac:dyDescent="0.25">
      <c r="A39" t="s">
        <v>134</v>
      </c>
      <c r="B39" s="18">
        <v>45489</v>
      </c>
      <c r="C39" t="s">
        <v>1066</v>
      </c>
      <c r="D39" t="s">
        <v>1058</v>
      </c>
      <c r="E39" t="s">
        <v>16</v>
      </c>
      <c r="F39" t="s">
        <v>12</v>
      </c>
      <c r="G39" t="s">
        <v>52</v>
      </c>
      <c r="H39" t="s">
        <v>19</v>
      </c>
      <c r="I39">
        <v>4</v>
      </c>
      <c r="J39">
        <v>6.99</v>
      </c>
      <c r="K39">
        <v>27.96</v>
      </c>
      <c r="L39">
        <v>5</v>
      </c>
      <c r="M39" t="s">
        <v>1079</v>
      </c>
    </row>
    <row r="40" spans="1:13" x14ac:dyDescent="0.25">
      <c r="A40" t="s">
        <v>121</v>
      </c>
      <c r="B40" s="18">
        <v>45488</v>
      </c>
      <c r="C40" t="s">
        <v>1066</v>
      </c>
      <c r="D40" t="s">
        <v>1058</v>
      </c>
      <c r="E40" t="s">
        <v>38</v>
      </c>
      <c r="F40" t="s">
        <v>29</v>
      </c>
      <c r="G40" t="s">
        <v>18</v>
      </c>
      <c r="H40" t="s">
        <v>19</v>
      </c>
      <c r="I40">
        <v>1</v>
      </c>
      <c r="J40">
        <v>9.99</v>
      </c>
      <c r="K40">
        <v>9.99</v>
      </c>
      <c r="L40">
        <v>4</v>
      </c>
      <c r="M40" t="s">
        <v>1079</v>
      </c>
    </row>
    <row r="41" spans="1:13" x14ac:dyDescent="0.25">
      <c r="A41" t="s">
        <v>116</v>
      </c>
      <c r="B41" s="18">
        <v>45480</v>
      </c>
      <c r="C41" t="s">
        <v>1066</v>
      </c>
      <c r="D41" t="s">
        <v>1058</v>
      </c>
      <c r="E41" t="s">
        <v>97</v>
      </c>
      <c r="F41" t="s">
        <v>29</v>
      </c>
      <c r="G41" t="s">
        <v>39</v>
      </c>
      <c r="H41" t="s">
        <v>14</v>
      </c>
      <c r="I41">
        <v>2</v>
      </c>
      <c r="J41">
        <v>24.99</v>
      </c>
      <c r="K41">
        <v>49.98</v>
      </c>
      <c r="L41">
        <v>5</v>
      </c>
      <c r="M41" t="s">
        <v>1079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E19"/>
  <sheetViews>
    <sheetView workbookViewId="0">
      <selection activeCell="B5" sqref="B5:C16"/>
    </sheetView>
  </sheetViews>
  <sheetFormatPr defaultRowHeight="15" x14ac:dyDescent="0.25"/>
  <cols>
    <col min="1" max="1" width="18" bestFit="1" customWidth="1"/>
    <col min="2" max="2" width="16.85546875" bestFit="1" customWidth="1"/>
    <col min="3" max="3" width="7.7109375" bestFit="1" customWidth="1"/>
    <col min="5" max="5" width="11.140625" bestFit="1" customWidth="1"/>
  </cols>
  <sheetData>
    <row r="3" spans="1:3" x14ac:dyDescent="0.25">
      <c r="A3" s="6" t="s">
        <v>1055</v>
      </c>
      <c r="B3" s="6" t="s">
        <v>1059</v>
      </c>
    </row>
    <row r="4" spans="1:3" x14ac:dyDescent="0.25">
      <c r="A4" s="6" t="s">
        <v>1056</v>
      </c>
      <c r="B4" t="s">
        <v>1058</v>
      </c>
      <c r="C4" t="s">
        <v>1072</v>
      </c>
    </row>
    <row r="5" spans="1:3" x14ac:dyDescent="0.25">
      <c r="A5" s="7" t="s">
        <v>1060</v>
      </c>
      <c r="B5" s="8">
        <v>1146.1900000000005</v>
      </c>
      <c r="C5" s="8">
        <v>1236.2100000000005</v>
      </c>
    </row>
    <row r="6" spans="1:3" x14ac:dyDescent="0.25">
      <c r="A6" s="7" t="s">
        <v>1061</v>
      </c>
      <c r="B6" s="22">
        <v>601.57000000000028</v>
      </c>
      <c r="C6" s="8">
        <v>802.39000000000021</v>
      </c>
    </row>
    <row r="7" spans="1:3" x14ac:dyDescent="0.25">
      <c r="A7" s="7" t="s">
        <v>1062</v>
      </c>
      <c r="B7" s="8">
        <v>1148.2700000000004</v>
      </c>
      <c r="C7" s="8">
        <v>930.84000000000037</v>
      </c>
    </row>
    <row r="8" spans="1:3" x14ac:dyDescent="0.25">
      <c r="A8" s="7" t="s">
        <v>1063</v>
      </c>
      <c r="B8" s="8">
        <v>1151.1800000000005</v>
      </c>
      <c r="C8" s="8">
        <v>1034.3400000000004</v>
      </c>
    </row>
    <row r="9" spans="1:3" x14ac:dyDescent="0.25">
      <c r="A9" s="7" t="s">
        <v>1064</v>
      </c>
      <c r="B9" s="21">
        <v>1326.6500000000005</v>
      </c>
      <c r="C9" s="8">
        <v>889.78000000000043</v>
      </c>
    </row>
    <row r="10" spans="1:3" x14ac:dyDescent="0.25">
      <c r="A10" s="7" t="s">
        <v>1065</v>
      </c>
      <c r="B10" s="8">
        <v>1297.1300000000006</v>
      </c>
      <c r="C10" s="8">
        <v>1094.2700000000002</v>
      </c>
    </row>
    <row r="11" spans="1:3" x14ac:dyDescent="0.25">
      <c r="A11" s="7" t="s">
        <v>1066</v>
      </c>
      <c r="B11" s="8">
        <v>1131.7500000000005</v>
      </c>
      <c r="C11" s="22">
        <v>723.98000000000013</v>
      </c>
    </row>
    <row r="12" spans="1:3" x14ac:dyDescent="0.25">
      <c r="A12" s="7" t="s">
        <v>1067</v>
      </c>
      <c r="B12" s="8">
        <v>808.4400000000004</v>
      </c>
      <c r="C12" s="8">
        <v>1181.2500000000005</v>
      </c>
    </row>
    <row r="13" spans="1:3" x14ac:dyDescent="0.25">
      <c r="A13" s="7" t="s">
        <v>1068</v>
      </c>
      <c r="B13" s="8">
        <v>1291.2000000000005</v>
      </c>
      <c r="C13" s="8">
        <v>1283.9800000000005</v>
      </c>
    </row>
    <row r="14" spans="1:3" x14ac:dyDescent="0.25">
      <c r="A14" s="7" t="s">
        <v>1069</v>
      </c>
      <c r="B14" s="8">
        <v>1042.7200000000005</v>
      </c>
      <c r="C14" s="21">
        <v>1500.5500000000006</v>
      </c>
    </row>
    <row r="15" spans="1:3" x14ac:dyDescent="0.25">
      <c r="A15" s="7" t="s">
        <v>1070</v>
      </c>
      <c r="B15" s="8">
        <v>1039.2600000000004</v>
      </c>
      <c r="C15" s="8">
        <v>1083.2600000000002</v>
      </c>
    </row>
    <row r="16" spans="1:3" x14ac:dyDescent="0.25">
      <c r="A16" s="7" t="s">
        <v>1071</v>
      </c>
      <c r="B16" s="8">
        <v>1234.2300000000002</v>
      </c>
      <c r="C16" s="8">
        <v>820.01000000000033</v>
      </c>
    </row>
    <row r="19" spans="5:5" x14ac:dyDescent="0.25">
      <c r="E19" s="2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K26"/>
  <sheetViews>
    <sheetView workbookViewId="0">
      <selection activeCell="J21" sqref="J21:K26"/>
    </sheetView>
  </sheetViews>
  <sheetFormatPr defaultRowHeight="15" x14ac:dyDescent="0.25"/>
  <cols>
    <col min="1" max="1" width="20.85546875" bestFit="1" customWidth="1"/>
    <col min="2" max="2" width="16.85546875" bestFit="1" customWidth="1"/>
    <col min="3" max="3" width="9.28515625" bestFit="1" customWidth="1"/>
    <col min="4" max="4" width="8.140625" bestFit="1" customWidth="1"/>
    <col min="5" max="5" width="5.28515625" bestFit="1" customWidth="1"/>
    <col min="6" max="6" width="14" bestFit="1" customWidth="1"/>
    <col min="7" max="7" width="12.42578125" bestFit="1" customWidth="1"/>
    <col min="8" max="8" width="11.85546875" bestFit="1" customWidth="1"/>
    <col min="9" max="9" width="17.5703125" bestFit="1" customWidth="1"/>
    <col min="10" max="10" width="19.85546875" bestFit="1" customWidth="1"/>
    <col min="11" max="11" width="15.140625" bestFit="1" customWidth="1"/>
    <col min="12" max="12" width="12.140625" bestFit="1" customWidth="1"/>
    <col min="13" max="13" width="15.85546875" bestFit="1" customWidth="1"/>
    <col min="14" max="14" width="14" bestFit="1" customWidth="1"/>
    <col min="15" max="15" width="11.42578125" bestFit="1" customWidth="1"/>
    <col min="16" max="16" width="17.28515625" bestFit="1" customWidth="1"/>
    <col min="17" max="17" width="11.140625" bestFit="1" customWidth="1"/>
    <col min="18" max="18" width="16.42578125" bestFit="1" customWidth="1"/>
    <col min="19" max="19" width="17.42578125" bestFit="1" customWidth="1"/>
    <col min="20" max="20" width="13.85546875" bestFit="1" customWidth="1"/>
    <col min="21" max="21" width="15.42578125" bestFit="1" customWidth="1"/>
    <col min="22" max="22" width="9.28515625" bestFit="1" customWidth="1"/>
    <col min="23" max="24" width="15" bestFit="1" customWidth="1"/>
    <col min="25" max="25" width="11.7109375" bestFit="1" customWidth="1"/>
    <col min="26" max="26" width="8.42578125" customWidth="1"/>
  </cols>
  <sheetData>
    <row r="3" spans="1:5" x14ac:dyDescent="0.25">
      <c r="A3" s="6" t="s">
        <v>1073</v>
      </c>
      <c r="B3" s="6" t="s">
        <v>1059</v>
      </c>
    </row>
    <row r="4" spans="1:5" x14ac:dyDescent="0.25">
      <c r="A4" s="6" t="s">
        <v>1056</v>
      </c>
      <c r="B4" t="s">
        <v>23</v>
      </c>
      <c r="C4" t="s">
        <v>19</v>
      </c>
      <c r="D4" t="s">
        <v>67</v>
      </c>
      <c r="E4" t="s">
        <v>14</v>
      </c>
    </row>
    <row r="5" spans="1:5" x14ac:dyDescent="0.25">
      <c r="A5" s="7" t="s">
        <v>97</v>
      </c>
      <c r="B5">
        <v>25</v>
      </c>
      <c r="C5">
        <v>25</v>
      </c>
      <c r="D5">
        <v>28</v>
      </c>
      <c r="E5" s="30">
        <v>67</v>
      </c>
    </row>
    <row r="6" spans="1:5" x14ac:dyDescent="0.25">
      <c r="A6" s="7" t="s">
        <v>28</v>
      </c>
      <c r="B6">
        <v>43</v>
      </c>
      <c r="C6">
        <v>40</v>
      </c>
      <c r="D6">
        <v>22</v>
      </c>
      <c r="E6" s="30">
        <v>85</v>
      </c>
    </row>
    <row r="7" spans="1:5" x14ac:dyDescent="0.25">
      <c r="A7" s="7" t="s">
        <v>45</v>
      </c>
      <c r="B7" s="31">
        <v>51</v>
      </c>
      <c r="C7">
        <v>24</v>
      </c>
      <c r="D7">
        <v>19</v>
      </c>
      <c r="E7" s="30">
        <v>70</v>
      </c>
    </row>
    <row r="8" spans="1:5" x14ac:dyDescent="0.25">
      <c r="A8" s="7" t="s">
        <v>16</v>
      </c>
      <c r="B8">
        <v>29</v>
      </c>
      <c r="C8">
        <v>49</v>
      </c>
      <c r="D8">
        <v>27</v>
      </c>
      <c r="E8" s="30">
        <v>71</v>
      </c>
    </row>
    <row r="9" spans="1:5" x14ac:dyDescent="0.25">
      <c r="A9" s="7" t="s">
        <v>11</v>
      </c>
      <c r="B9">
        <v>26</v>
      </c>
      <c r="C9">
        <v>36</v>
      </c>
      <c r="D9" s="31">
        <v>33</v>
      </c>
      <c r="E9" s="30">
        <v>105</v>
      </c>
    </row>
    <row r="10" spans="1:5" x14ac:dyDescent="0.25">
      <c r="A10" s="7" t="s">
        <v>32</v>
      </c>
      <c r="B10">
        <v>38</v>
      </c>
      <c r="C10" s="31">
        <v>61</v>
      </c>
      <c r="D10">
        <v>31</v>
      </c>
      <c r="E10" s="30">
        <v>120</v>
      </c>
    </row>
    <row r="11" spans="1:5" x14ac:dyDescent="0.25">
      <c r="A11" s="7" t="s">
        <v>25</v>
      </c>
      <c r="B11">
        <v>35</v>
      </c>
      <c r="C11">
        <v>27</v>
      </c>
      <c r="D11">
        <v>23</v>
      </c>
      <c r="E11" s="30">
        <v>86</v>
      </c>
    </row>
    <row r="12" spans="1:5" x14ac:dyDescent="0.25">
      <c r="A12" s="7" t="s">
        <v>34</v>
      </c>
      <c r="B12">
        <v>43</v>
      </c>
      <c r="C12">
        <v>16</v>
      </c>
      <c r="D12">
        <v>24</v>
      </c>
      <c r="E12" s="30">
        <v>81</v>
      </c>
    </row>
    <row r="13" spans="1:5" x14ac:dyDescent="0.25">
      <c r="A13" s="7" t="s">
        <v>21</v>
      </c>
      <c r="B13">
        <v>29</v>
      </c>
      <c r="C13">
        <v>41</v>
      </c>
      <c r="D13">
        <v>24</v>
      </c>
      <c r="E13" s="30">
        <v>67</v>
      </c>
    </row>
    <row r="14" spans="1:5" x14ac:dyDescent="0.25">
      <c r="A14" s="7" t="s">
        <v>38</v>
      </c>
      <c r="B14">
        <v>18</v>
      </c>
      <c r="C14">
        <v>40</v>
      </c>
      <c r="D14">
        <v>12</v>
      </c>
      <c r="E14" s="30">
        <v>64</v>
      </c>
    </row>
    <row r="17" spans="1:11" x14ac:dyDescent="0.25">
      <c r="A17" s="7"/>
    </row>
    <row r="18" spans="1:11" x14ac:dyDescent="0.25">
      <c r="A18" s="7"/>
    </row>
    <row r="19" spans="1:11" x14ac:dyDescent="0.25">
      <c r="A19" s="7"/>
    </row>
    <row r="20" spans="1:11" x14ac:dyDescent="0.25">
      <c r="A20" s="7"/>
    </row>
    <row r="21" spans="1:11" x14ac:dyDescent="0.25">
      <c r="A21" s="7"/>
      <c r="J21" s="27"/>
      <c r="K21" s="7"/>
    </row>
    <row r="22" spans="1:11" x14ac:dyDescent="0.25">
      <c r="A22" s="7"/>
      <c r="C22" t="s">
        <v>1083</v>
      </c>
      <c r="J22" s="27"/>
    </row>
    <row r="23" spans="1:11" x14ac:dyDescent="0.25">
      <c r="A23" s="7"/>
      <c r="J23" s="27"/>
    </row>
    <row r="24" spans="1:11" x14ac:dyDescent="0.25">
      <c r="A24" s="7"/>
      <c r="J24" s="27"/>
    </row>
    <row r="25" spans="1:11" x14ac:dyDescent="0.25">
      <c r="A25" s="7"/>
      <c r="J25" s="27"/>
    </row>
    <row r="26" spans="1:11" x14ac:dyDescent="0.25">
      <c r="A26" s="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U1001"/>
  <sheetViews>
    <sheetView topLeftCell="F1" zoomScale="106" zoomScaleNormal="106" workbookViewId="0">
      <pane ySplit="1" topLeftCell="A5" activePane="bottomLeft" state="frozen"/>
      <selection pane="bottomLeft" activeCell="O22" sqref="O22"/>
    </sheetView>
  </sheetViews>
  <sheetFormatPr defaultRowHeight="15" x14ac:dyDescent="0.25"/>
  <cols>
    <col min="1" max="1" width="17.85546875" bestFit="1" customWidth="1"/>
    <col min="2" max="2" width="14.7109375" style="4" bestFit="1" customWidth="1"/>
    <col min="3" max="4" width="14.7109375" style="4" customWidth="1"/>
    <col min="5" max="5" width="23" bestFit="1" customWidth="1"/>
    <col min="6" max="6" width="15" bestFit="1" customWidth="1"/>
    <col min="7" max="7" width="18.42578125" bestFit="1" customWidth="1"/>
    <col min="8" max="8" width="12.85546875" bestFit="1" customWidth="1"/>
    <col min="9" max="9" width="12.28515625" bestFit="1" customWidth="1"/>
    <col min="10" max="10" width="13.5703125" bestFit="1" customWidth="1"/>
    <col min="11" max="11" width="15.140625" bestFit="1" customWidth="1"/>
    <col min="12" max="12" width="19.85546875" bestFit="1" customWidth="1"/>
    <col min="13" max="13" width="14.85546875" bestFit="1" customWidth="1"/>
    <col min="15" max="15" width="19" bestFit="1" customWidth="1"/>
    <col min="16" max="16" width="17.85546875" style="7" bestFit="1" customWidth="1"/>
    <col min="17" max="17" width="14" bestFit="1" customWidth="1"/>
    <col min="18" max="18" width="19.28515625" bestFit="1" customWidth="1"/>
    <col min="19" max="19" width="17.7109375" bestFit="1" customWidth="1"/>
    <col min="20" max="20" width="11" bestFit="1" customWidth="1"/>
    <col min="21" max="21" width="16.28515625" bestFit="1" customWidth="1"/>
  </cols>
  <sheetData>
    <row r="1" spans="1:21" x14ac:dyDescent="0.25">
      <c r="A1" s="1" t="s">
        <v>1082</v>
      </c>
      <c r="B1" s="3" t="s">
        <v>1</v>
      </c>
      <c r="C1" s="3" t="s">
        <v>1052</v>
      </c>
      <c r="D1" s="3" t="s">
        <v>1053</v>
      </c>
      <c r="E1" s="1" t="s">
        <v>2</v>
      </c>
      <c r="F1" s="1" t="s">
        <v>3</v>
      </c>
      <c r="G1" s="1" t="s">
        <v>4</v>
      </c>
      <c r="H1" s="1" t="s">
        <v>5</v>
      </c>
      <c r="I1" s="1" t="s">
        <v>6</v>
      </c>
      <c r="J1" s="1" t="s">
        <v>7</v>
      </c>
      <c r="K1" s="1" t="s">
        <v>8</v>
      </c>
      <c r="L1" s="1" t="s">
        <v>9</v>
      </c>
      <c r="M1" s="5" t="s">
        <v>1054</v>
      </c>
      <c r="O1" s="14" t="s">
        <v>0</v>
      </c>
      <c r="P1" s="7" t="s">
        <v>10</v>
      </c>
      <c r="R1" s="14" t="s">
        <v>0</v>
      </c>
      <c r="S1" s="11" t="s">
        <v>4</v>
      </c>
      <c r="T1" s="11" t="s">
        <v>8</v>
      </c>
    </row>
    <row r="2" spans="1:21" x14ac:dyDescent="0.25">
      <c r="A2" t="s">
        <v>10</v>
      </c>
      <c r="B2" s="4">
        <v>45478</v>
      </c>
      <c r="C2" s="4" t="str">
        <f>TEXT(Table1[[#This Row],[Order Date]],"mmm")</f>
        <v>Jul</v>
      </c>
      <c r="D2" s="4" t="str">
        <f>TEXT(Table1[[#This Row],[Order Date]],"yyyy")</f>
        <v>2024</v>
      </c>
      <c r="E2" t="s">
        <v>11</v>
      </c>
      <c r="F2" t="s">
        <v>12</v>
      </c>
      <c r="G2" t="s">
        <v>13</v>
      </c>
      <c r="H2" t="s">
        <v>14</v>
      </c>
      <c r="I2">
        <v>2</v>
      </c>
      <c r="J2" s="2">
        <v>18.989999999999998</v>
      </c>
      <c r="K2" s="2">
        <v>37.979999999999997</v>
      </c>
      <c r="L2">
        <v>4</v>
      </c>
      <c r="M2" t="str">
        <f>IF(Table1[[#This Row],[Customer Rating]]&gt;=3,"Good","Average")</f>
        <v>Good</v>
      </c>
      <c r="O2" s="13" t="s">
        <v>1</v>
      </c>
      <c r="P2" s="15">
        <f>VLOOKUP($P$1,$A$1:$M$1000,2,0)</f>
        <v>45478</v>
      </c>
      <c r="R2" s="7" t="s">
        <v>10</v>
      </c>
      <c r="S2" t="str" cm="1">
        <f t="array" ref="S2:T2">VLOOKUP(R2,A1:M1001,{7,11},0)</f>
        <v>Chicken Parmesan</v>
      </c>
      <c r="T2" s="16">
        <v>37.979999999999997</v>
      </c>
    </row>
    <row r="3" spans="1:21" x14ac:dyDescent="0.25">
      <c r="A3" t="s">
        <v>15</v>
      </c>
      <c r="B3" s="4">
        <v>45557</v>
      </c>
      <c r="C3" s="4" t="str">
        <f>TEXT(Table1[[#This Row],[Order Date]],"mmm")</f>
        <v>Sep</v>
      </c>
      <c r="D3" s="4" t="str">
        <f>TEXT(Table1[[#This Row],[Order Date]],"yyyy")</f>
        <v>2024</v>
      </c>
      <c r="E3" t="s">
        <v>16</v>
      </c>
      <c r="F3" t="s">
        <v>17</v>
      </c>
      <c r="G3" t="s">
        <v>18</v>
      </c>
      <c r="H3" t="s">
        <v>19</v>
      </c>
      <c r="I3">
        <v>1</v>
      </c>
      <c r="J3" s="2">
        <v>9.99</v>
      </c>
      <c r="K3" s="2">
        <v>9.99</v>
      </c>
      <c r="L3">
        <v>4</v>
      </c>
      <c r="M3" t="str">
        <f>IF(Table1[[#This Row],[Customer Rating]]&gt;=3,"Good","Average")</f>
        <v>Good</v>
      </c>
      <c r="O3" s="13" t="s">
        <v>1052</v>
      </c>
      <c r="P3" s="15" t="str">
        <f t="shared" ref="P3:P13" si="0">VLOOKUP($P$1,$A$1:$M$1000,ROW(),0)</f>
        <v>Jul</v>
      </c>
      <c r="R3" s="7" t="s">
        <v>15</v>
      </c>
      <c r="S3" t="str" cm="1">
        <f t="array" ref="S3:T3">VLOOKUP(R3,A2:M1002,{7,11},0)</f>
        <v>House Wine</v>
      </c>
      <c r="T3" s="16">
        <v>9.99</v>
      </c>
    </row>
    <row r="4" spans="1:21" x14ac:dyDescent="0.25">
      <c r="A4" t="s">
        <v>20</v>
      </c>
      <c r="B4" s="4">
        <v>45767</v>
      </c>
      <c r="C4" s="4" t="str">
        <f>TEXT(Table1[[#This Row],[Order Date]],"mmm")</f>
        <v>Apr</v>
      </c>
      <c r="D4" s="4" t="str">
        <f>TEXT(Table1[[#This Row],[Order Date]],"yyyy")</f>
        <v>2025</v>
      </c>
      <c r="E4" t="s">
        <v>21</v>
      </c>
      <c r="F4" t="s">
        <v>17</v>
      </c>
      <c r="G4" t="s">
        <v>22</v>
      </c>
      <c r="H4" t="s">
        <v>23</v>
      </c>
      <c r="I4">
        <v>3</v>
      </c>
      <c r="J4" s="2">
        <v>8.99</v>
      </c>
      <c r="K4" s="2">
        <v>26.97</v>
      </c>
      <c r="L4">
        <v>5</v>
      </c>
      <c r="M4" t="str">
        <f>IF(Table1[[#This Row],[Customer Rating]]&gt;=3,"Good","Average")</f>
        <v>Good</v>
      </c>
      <c r="O4" s="13" t="s">
        <v>1053</v>
      </c>
      <c r="P4" s="15" t="str">
        <f t="shared" si="0"/>
        <v>2024</v>
      </c>
      <c r="R4" s="7" t="s">
        <v>20</v>
      </c>
      <c r="S4" t="str" cm="1">
        <f t="array" ref="S4:T4">VLOOKUP(R4,A3:M1003,{7,11},0)</f>
        <v>Soup of the Day</v>
      </c>
      <c r="T4" s="16">
        <v>26.97</v>
      </c>
    </row>
    <row r="5" spans="1:21" x14ac:dyDescent="0.25">
      <c r="A5" t="s">
        <v>24</v>
      </c>
      <c r="B5" s="4">
        <v>45471</v>
      </c>
      <c r="C5" s="4" t="str">
        <f>TEXT(Table1[[#This Row],[Order Date]],"mmm")</f>
        <v>Jun</v>
      </c>
      <c r="D5" s="4" t="str">
        <f>TEXT(Table1[[#This Row],[Order Date]],"yyyy")</f>
        <v>2024</v>
      </c>
      <c r="E5" t="s">
        <v>25</v>
      </c>
      <c r="F5" t="s">
        <v>12</v>
      </c>
      <c r="G5" t="s">
        <v>26</v>
      </c>
      <c r="H5" t="s">
        <v>19</v>
      </c>
      <c r="I5">
        <v>2</v>
      </c>
      <c r="J5" s="2">
        <v>3.49</v>
      </c>
      <c r="K5" s="2">
        <v>6.98</v>
      </c>
      <c r="L5">
        <v>5</v>
      </c>
      <c r="M5" t="str">
        <f>IF(Table1[[#This Row],[Customer Rating]]&gt;=3,"Good","Average")</f>
        <v>Good</v>
      </c>
      <c r="O5" s="11" t="s">
        <v>2</v>
      </c>
      <c r="P5" s="15" t="str">
        <f t="shared" si="0"/>
        <v>Coral Gables</v>
      </c>
      <c r="R5" s="7" t="s">
        <v>24</v>
      </c>
      <c r="S5" t="str" cm="1">
        <f t="array" ref="S5:T5">VLOOKUP(R5,A4:M1004,{7,11},0)</f>
        <v>Sparkling Water</v>
      </c>
      <c r="T5" s="16">
        <v>6.98</v>
      </c>
    </row>
    <row r="6" spans="1:21" x14ac:dyDescent="0.25">
      <c r="A6" t="s">
        <v>27</v>
      </c>
      <c r="B6" s="4">
        <v>45843</v>
      </c>
      <c r="C6" s="4" t="str">
        <f>TEXT(Table1[[#This Row],[Order Date]],"mmm")</f>
        <v>Jul</v>
      </c>
      <c r="D6" s="4" t="str">
        <f>TEXT(Table1[[#This Row],[Order Date]],"yyyy")</f>
        <v>2025</v>
      </c>
      <c r="E6" t="s">
        <v>28</v>
      </c>
      <c r="F6" t="s">
        <v>29</v>
      </c>
      <c r="G6" t="s">
        <v>30</v>
      </c>
      <c r="H6" t="s">
        <v>19</v>
      </c>
      <c r="I6">
        <v>1</v>
      </c>
      <c r="J6" s="2">
        <v>7.99</v>
      </c>
      <c r="K6" s="2">
        <v>7.99</v>
      </c>
      <c r="L6">
        <v>3</v>
      </c>
      <c r="M6" t="str">
        <f>IF(Table1[[#This Row],[Customer Rating]]&gt;=3,"Good","Average")</f>
        <v>Good</v>
      </c>
      <c r="O6" s="11" t="s">
        <v>3</v>
      </c>
      <c r="P6" s="15" t="str">
        <f t="shared" si="0"/>
        <v>Delivery</v>
      </c>
      <c r="R6" s="7"/>
      <c r="T6" s="16"/>
    </row>
    <row r="7" spans="1:21" x14ac:dyDescent="0.25">
      <c r="A7" t="s">
        <v>31</v>
      </c>
      <c r="B7" s="4">
        <v>45792</v>
      </c>
      <c r="C7" s="4" t="str">
        <f>TEXT(Table1[[#This Row],[Order Date]],"mmm")</f>
        <v>May</v>
      </c>
      <c r="D7" s="4" t="str">
        <f>TEXT(Table1[[#This Row],[Order Date]],"yyyy")</f>
        <v>2025</v>
      </c>
      <c r="E7" t="s">
        <v>32</v>
      </c>
      <c r="F7" t="s">
        <v>12</v>
      </c>
      <c r="G7" t="s">
        <v>22</v>
      </c>
      <c r="H7" t="s">
        <v>23</v>
      </c>
      <c r="I7">
        <v>1</v>
      </c>
      <c r="J7" s="2">
        <v>8.99</v>
      </c>
      <c r="K7" s="2">
        <v>8.99</v>
      </c>
      <c r="L7">
        <v>3</v>
      </c>
      <c r="M7" t="str">
        <f>IF(Table1[[#This Row],[Customer Rating]]&gt;=3,"Good","Average")</f>
        <v>Good</v>
      </c>
      <c r="O7" s="11" t="s">
        <v>4</v>
      </c>
      <c r="P7" s="15" t="str">
        <f t="shared" si="0"/>
        <v>Chicken Parmesan</v>
      </c>
      <c r="R7" s="7"/>
      <c r="T7" s="16"/>
    </row>
    <row r="8" spans="1:21" x14ac:dyDescent="0.25">
      <c r="A8" t="s">
        <v>33</v>
      </c>
      <c r="B8" s="4">
        <v>45438</v>
      </c>
      <c r="C8" s="4" t="str">
        <f>TEXT(Table1[[#This Row],[Order Date]],"mmm")</f>
        <v>May</v>
      </c>
      <c r="D8" s="4" t="str">
        <f>TEXT(Table1[[#This Row],[Order Date]],"yyyy")</f>
        <v>2024</v>
      </c>
      <c r="E8" t="s">
        <v>34</v>
      </c>
      <c r="F8" t="s">
        <v>29</v>
      </c>
      <c r="G8" t="s">
        <v>13</v>
      </c>
      <c r="H8" t="s">
        <v>14</v>
      </c>
      <c r="I8">
        <v>1</v>
      </c>
      <c r="J8" s="2">
        <v>18.989999999999998</v>
      </c>
      <c r="K8" s="2">
        <v>18.989999999999998</v>
      </c>
      <c r="L8">
        <v>4</v>
      </c>
      <c r="M8" t="str">
        <f>IF(Table1[[#This Row],[Customer Rating]]&gt;=3,"Good","Average")</f>
        <v>Good</v>
      </c>
      <c r="O8" s="11" t="s">
        <v>5</v>
      </c>
      <c r="P8" s="15" t="str">
        <f t="shared" si="0"/>
        <v>Main</v>
      </c>
      <c r="R8" s="11" t="s">
        <v>2</v>
      </c>
      <c r="S8" s="11" t="s">
        <v>5</v>
      </c>
      <c r="T8" s="11" t="s">
        <v>8</v>
      </c>
      <c r="U8" s="11" t="s">
        <v>9</v>
      </c>
    </row>
    <row r="9" spans="1:21" x14ac:dyDescent="0.25">
      <c r="A9" t="s">
        <v>35</v>
      </c>
      <c r="B9" s="4">
        <v>45983</v>
      </c>
      <c r="C9" s="4" t="str">
        <f>TEXT(Table1[[#This Row],[Order Date]],"mmm")</f>
        <v>Nov</v>
      </c>
      <c r="D9" s="4" t="str">
        <f>TEXT(Table1[[#This Row],[Order Date]],"yyyy")</f>
        <v>2025</v>
      </c>
      <c r="E9" t="s">
        <v>32</v>
      </c>
      <c r="F9" t="s">
        <v>17</v>
      </c>
      <c r="G9" t="s">
        <v>36</v>
      </c>
      <c r="H9" t="s">
        <v>14</v>
      </c>
      <c r="I9">
        <v>2</v>
      </c>
      <c r="J9" s="2">
        <v>16.989999999999998</v>
      </c>
      <c r="K9" s="2">
        <v>33.979999999999997</v>
      </c>
      <c r="L9">
        <v>4</v>
      </c>
      <c r="M9" t="str">
        <f>IF(Table1[[#This Row],[Customer Rating]]&gt;=3,"Good","Average")</f>
        <v>Good</v>
      </c>
      <c r="O9" s="11" t="s">
        <v>6</v>
      </c>
      <c r="P9" s="7">
        <f t="shared" si="0"/>
        <v>2</v>
      </c>
      <c r="R9" s="29" t="s">
        <v>16</v>
      </c>
      <c r="S9" t="str" cm="1">
        <f t="array" ref="S9:U9">VLOOKUP($R$9,$E$1:$M$1001,{4,7,8},0)</f>
        <v>Beverage</v>
      </c>
      <c r="T9" s="16">
        <v>9.99</v>
      </c>
      <c r="U9">
        <v>4</v>
      </c>
    </row>
    <row r="10" spans="1:21" x14ac:dyDescent="0.25">
      <c r="A10" t="s">
        <v>37</v>
      </c>
      <c r="B10" s="4">
        <v>45575</v>
      </c>
      <c r="C10" s="4" t="str">
        <f>TEXT(Table1[[#This Row],[Order Date]],"mmm")</f>
        <v>Oct</v>
      </c>
      <c r="D10" s="4" t="str">
        <f>TEXT(Table1[[#This Row],[Order Date]],"yyyy")</f>
        <v>2024</v>
      </c>
      <c r="E10" t="s">
        <v>38</v>
      </c>
      <c r="F10" t="s">
        <v>29</v>
      </c>
      <c r="G10" t="s">
        <v>39</v>
      </c>
      <c r="H10" t="s">
        <v>14</v>
      </c>
      <c r="I10">
        <v>3</v>
      </c>
      <c r="J10" s="2">
        <v>24.99</v>
      </c>
      <c r="K10" s="2">
        <v>74.97</v>
      </c>
      <c r="L10">
        <v>4</v>
      </c>
      <c r="M10" t="str">
        <f>IF(Table1[[#This Row],[Customer Rating]]&gt;=3,"Good","Average")</f>
        <v>Good</v>
      </c>
      <c r="O10" s="11" t="s">
        <v>7</v>
      </c>
      <c r="P10" s="16">
        <f t="shared" si="0"/>
        <v>18.989999999999998</v>
      </c>
      <c r="R10" s="7"/>
      <c r="T10" s="16"/>
    </row>
    <row r="11" spans="1:21" x14ac:dyDescent="0.25">
      <c r="A11" t="s">
        <v>40</v>
      </c>
      <c r="B11" s="4">
        <v>45654</v>
      </c>
      <c r="C11" s="4" t="str">
        <f>TEXT(Table1[[#This Row],[Order Date]],"mmm")</f>
        <v>Dec</v>
      </c>
      <c r="D11" s="4" t="str">
        <f>TEXT(Table1[[#This Row],[Order Date]],"yyyy")</f>
        <v>2024</v>
      </c>
      <c r="E11" t="s">
        <v>28</v>
      </c>
      <c r="F11" t="s">
        <v>29</v>
      </c>
      <c r="G11" t="s">
        <v>41</v>
      </c>
      <c r="H11" t="s">
        <v>23</v>
      </c>
      <c r="I11">
        <v>1</v>
      </c>
      <c r="J11" s="2">
        <v>12.99</v>
      </c>
      <c r="K11" s="2">
        <v>12.99</v>
      </c>
      <c r="L11">
        <v>3</v>
      </c>
      <c r="M11" t="str">
        <f>IF(Table1[[#This Row],[Customer Rating]]&gt;=3,"Good","Average")</f>
        <v>Good</v>
      </c>
      <c r="O11" s="11" t="s">
        <v>8</v>
      </c>
      <c r="P11" s="16">
        <f t="shared" si="0"/>
        <v>37.979999999999997</v>
      </c>
      <c r="R11" s="7"/>
      <c r="T11" s="16"/>
    </row>
    <row r="12" spans="1:21" x14ac:dyDescent="0.25">
      <c r="A12" t="s">
        <v>42</v>
      </c>
      <c r="B12" s="4">
        <v>45786</v>
      </c>
      <c r="C12" s="4" t="str">
        <f>TEXT(Table1[[#This Row],[Order Date]],"mmm")</f>
        <v>May</v>
      </c>
      <c r="D12" s="4" t="str">
        <f>TEXT(Table1[[#This Row],[Order Date]],"yyyy")</f>
        <v>2025</v>
      </c>
      <c r="E12" t="s">
        <v>11</v>
      </c>
      <c r="F12" t="s">
        <v>29</v>
      </c>
      <c r="G12" t="s">
        <v>43</v>
      </c>
      <c r="H12" t="s">
        <v>23</v>
      </c>
      <c r="I12">
        <v>2</v>
      </c>
      <c r="J12" s="2">
        <v>11.99</v>
      </c>
      <c r="K12" s="2">
        <v>23.98</v>
      </c>
      <c r="L12">
        <v>5</v>
      </c>
      <c r="M12" t="str">
        <f>IF(Table1[[#This Row],[Customer Rating]]&gt;=3,"Good","Average")</f>
        <v>Good</v>
      </c>
      <c r="O12" s="11" t="s">
        <v>9</v>
      </c>
      <c r="P12" s="7">
        <f t="shared" si="0"/>
        <v>4</v>
      </c>
    </row>
    <row r="13" spans="1:21" x14ac:dyDescent="0.25">
      <c r="A13" t="s">
        <v>44</v>
      </c>
      <c r="B13" s="4">
        <v>45415</v>
      </c>
      <c r="C13" s="4" t="str">
        <f>TEXT(Table1[[#This Row],[Order Date]],"mmm")</f>
        <v>May</v>
      </c>
      <c r="D13" s="4" t="str">
        <f>TEXT(Table1[[#This Row],[Order Date]],"yyyy")</f>
        <v>2024</v>
      </c>
      <c r="E13" t="s">
        <v>45</v>
      </c>
      <c r="F13" t="s">
        <v>29</v>
      </c>
      <c r="G13" t="s">
        <v>46</v>
      </c>
      <c r="H13" t="s">
        <v>14</v>
      </c>
      <c r="I13">
        <v>1</v>
      </c>
      <c r="J13" s="2">
        <v>32.99</v>
      </c>
      <c r="K13" s="2">
        <v>32.99</v>
      </c>
      <c r="L13">
        <v>3</v>
      </c>
      <c r="M13" t="str">
        <f>IF(Table1[[#This Row],[Customer Rating]]&gt;=3,"Good","Average")</f>
        <v>Good</v>
      </c>
      <c r="O13" s="12" t="s">
        <v>1054</v>
      </c>
      <c r="P13" s="15" t="str">
        <f t="shared" si="0"/>
        <v>Good</v>
      </c>
    </row>
    <row r="14" spans="1:21" x14ac:dyDescent="0.25">
      <c r="A14" t="s">
        <v>47</v>
      </c>
      <c r="B14" s="4">
        <v>45339</v>
      </c>
      <c r="C14" s="4" t="str">
        <f>TEXT(Table1[[#This Row],[Order Date]],"mmm")</f>
        <v>Feb</v>
      </c>
      <c r="D14" s="4" t="str">
        <f>TEXT(Table1[[#This Row],[Order Date]],"yyyy")</f>
        <v>2024</v>
      </c>
      <c r="E14" t="s">
        <v>38</v>
      </c>
      <c r="F14" t="s">
        <v>29</v>
      </c>
      <c r="G14" t="s">
        <v>43</v>
      </c>
      <c r="H14" t="s">
        <v>23</v>
      </c>
      <c r="I14">
        <v>1</v>
      </c>
      <c r="J14" s="2">
        <v>11.99</v>
      </c>
      <c r="K14" s="2">
        <v>11.99</v>
      </c>
      <c r="L14">
        <v>4</v>
      </c>
      <c r="M14" t="str">
        <f>IF(Table1[[#This Row],[Customer Rating]]&gt;=3,"Good","Average")</f>
        <v>Good</v>
      </c>
    </row>
    <row r="15" spans="1:21" x14ac:dyDescent="0.25">
      <c r="A15" t="s">
        <v>48</v>
      </c>
      <c r="B15" s="4">
        <v>45397</v>
      </c>
      <c r="C15" s="4" t="str">
        <f>TEXT(Table1[[#This Row],[Order Date]],"mmm")</f>
        <v>Apr</v>
      </c>
      <c r="D15" s="4" t="str">
        <f>TEXT(Table1[[#This Row],[Order Date]],"yyyy")</f>
        <v>2024</v>
      </c>
      <c r="E15" t="s">
        <v>32</v>
      </c>
      <c r="F15" t="s">
        <v>12</v>
      </c>
      <c r="G15" t="s">
        <v>30</v>
      </c>
      <c r="H15" t="s">
        <v>19</v>
      </c>
      <c r="I15">
        <v>1</v>
      </c>
      <c r="J15" s="2">
        <v>7.99</v>
      </c>
      <c r="K15" s="2">
        <v>7.99</v>
      </c>
      <c r="L15">
        <v>4</v>
      </c>
      <c r="M15" t="str">
        <f>IF(Table1[[#This Row],[Customer Rating]]&gt;=3,"Good","Average")</f>
        <v>Good</v>
      </c>
    </row>
    <row r="16" spans="1:21" x14ac:dyDescent="0.25">
      <c r="A16" t="s">
        <v>49</v>
      </c>
      <c r="B16" s="4">
        <v>45998</v>
      </c>
      <c r="C16" s="4" t="str">
        <f>TEXT(Table1[[#This Row],[Order Date]],"mmm")</f>
        <v>Dec</v>
      </c>
      <c r="D16" s="4" t="str">
        <f>TEXT(Table1[[#This Row],[Order Date]],"yyyy")</f>
        <v>2025</v>
      </c>
      <c r="E16" t="s">
        <v>25</v>
      </c>
      <c r="F16" t="s">
        <v>17</v>
      </c>
      <c r="G16" t="s">
        <v>50</v>
      </c>
      <c r="H16" t="s">
        <v>14</v>
      </c>
      <c r="I16">
        <v>4</v>
      </c>
      <c r="J16" s="2">
        <v>22.99</v>
      </c>
      <c r="K16" s="2">
        <v>91.96</v>
      </c>
      <c r="L16">
        <v>4</v>
      </c>
      <c r="M16" t="str">
        <f>IF(Table1[[#This Row],[Customer Rating]]&gt;=3,"Good","Average")</f>
        <v>Good</v>
      </c>
      <c r="O16" s="36" t="s">
        <v>1084</v>
      </c>
      <c r="P16" s="36"/>
    </row>
    <row r="17" spans="1:18" x14ac:dyDescent="0.25">
      <c r="A17" t="s">
        <v>51</v>
      </c>
      <c r="B17" s="4">
        <v>45821</v>
      </c>
      <c r="C17" s="4" t="str">
        <f>TEXT(Table1[[#This Row],[Order Date]],"mmm")</f>
        <v>Jun</v>
      </c>
      <c r="D17" s="4" t="str">
        <f>TEXT(Table1[[#This Row],[Order Date]],"yyyy")</f>
        <v>2025</v>
      </c>
      <c r="E17" t="s">
        <v>32</v>
      </c>
      <c r="F17" t="s">
        <v>17</v>
      </c>
      <c r="G17" t="s">
        <v>52</v>
      </c>
      <c r="H17" t="s">
        <v>19</v>
      </c>
      <c r="I17">
        <v>2</v>
      </c>
      <c r="J17" s="2">
        <v>6.99</v>
      </c>
      <c r="K17" s="2">
        <v>13.98</v>
      </c>
      <c r="L17">
        <v>4</v>
      </c>
      <c r="M17" t="str">
        <f>IF(Table1[[#This Row],[Customer Rating]]&gt;=3,"Good","Average")</f>
        <v>Good</v>
      </c>
      <c r="P17" s="7" t="s">
        <v>1076</v>
      </c>
    </row>
    <row r="18" spans="1:18" x14ac:dyDescent="0.25">
      <c r="A18" t="s">
        <v>53</v>
      </c>
      <c r="B18" s="4">
        <v>45409</v>
      </c>
      <c r="C18" s="4" t="str">
        <f>TEXT(Table1[[#This Row],[Order Date]],"mmm")</f>
        <v>Apr</v>
      </c>
      <c r="D18" s="4" t="str">
        <f>TEXT(Table1[[#This Row],[Order Date]],"yyyy")</f>
        <v>2024</v>
      </c>
      <c r="E18" t="s">
        <v>34</v>
      </c>
      <c r="F18" t="s">
        <v>12</v>
      </c>
      <c r="G18" t="s">
        <v>52</v>
      </c>
      <c r="H18" t="s">
        <v>19</v>
      </c>
      <c r="I18">
        <v>1</v>
      </c>
      <c r="J18" s="2">
        <v>6.99</v>
      </c>
      <c r="K18" s="2">
        <v>6.99</v>
      </c>
      <c r="L18">
        <v>3</v>
      </c>
      <c r="M18" t="str">
        <f>IF(Table1[[#This Row],[Customer Rating]]&gt;=3,"Good","Average")</f>
        <v>Good</v>
      </c>
      <c r="O18" s="11" t="s">
        <v>2</v>
      </c>
      <c r="P18" s="11" t="s">
        <v>5</v>
      </c>
      <c r="Q18" s="11" t="s">
        <v>8</v>
      </c>
      <c r="R18" s="13" t="s">
        <v>1</v>
      </c>
    </row>
    <row r="19" spans="1:18" x14ac:dyDescent="0.25">
      <c r="A19" t="s">
        <v>54</v>
      </c>
      <c r="B19" s="4">
        <v>45808</v>
      </c>
      <c r="C19" s="4" t="str">
        <f>TEXT(Table1[[#This Row],[Order Date]],"mmm")</f>
        <v>May</v>
      </c>
      <c r="D19" s="4" t="str">
        <f>TEXT(Table1[[#This Row],[Order Date]],"yyyy")</f>
        <v>2025</v>
      </c>
      <c r="E19" t="s">
        <v>32</v>
      </c>
      <c r="F19" t="s">
        <v>12</v>
      </c>
      <c r="G19" t="s">
        <v>55</v>
      </c>
      <c r="H19" t="s">
        <v>23</v>
      </c>
      <c r="I19">
        <v>1</v>
      </c>
      <c r="J19" s="2">
        <v>10.99</v>
      </c>
      <c r="K19" s="2">
        <v>10.99</v>
      </c>
      <c r="L19">
        <v>5</v>
      </c>
      <c r="M19" t="str">
        <f>IF(Table1[[#This Row],[Customer Rating]]&gt;=3,"Good","Average")</f>
        <v>Good</v>
      </c>
      <c r="O19" s="29" t="s">
        <v>21</v>
      </c>
      <c r="P19" s="7" t="str">
        <f>_xlfn.XLOOKUP(O19,E2:E1001,H2:H1001)</f>
        <v>Appetizer</v>
      </c>
      <c r="Q19" s="16">
        <f>_xlfn.XLOOKUP(O19,E2:E1001,K2:K1001)</f>
        <v>26.97</v>
      </c>
      <c r="R19" s="18">
        <f>_xlfn.XLOOKUP(O19,E2:E1001,B2:B1001)</f>
        <v>45767</v>
      </c>
    </row>
    <row r="20" spans="1:18" x14ac:dyDescent="0.25">
      <c r="A20" t="s">
        <v>56</v>
      </c>
      <c r="B20" s="4">
        <v>45648</v>
      </c>
      <c r="C20" s="4" t="str">
        <f>TEXT(Table1[[#This Row],[Order Date]],"mmm")</f>
        <v>Dec</v>
      </c>
      <c r="D20" s="4" t="str">
        <f>TEXT(Table1[[#This Row],[Order Date]],"yyyy")</f>
        <v>2024</v>
      </c>
      <c r="E20" t="s">
        <v>21</v>
      </c>
      <c r="F20" t="s">
        <v>29</v>
      </c>
      <c r="G20" t="s">
        <v>57</v>
      </c>
      <c r="H20" t="s">
        <v>14</v>
      </c>
      <c r="I20">
        <v>1</v>
      </c>
      <c r="J20" s="2">
        <v>15.99</v>
      </c>
      <c r="K20" s="2">
        <v>15.99</v>
      </c>
      <c r="L20">
        <v>4</v>
      </c>
      <c r="M20" t="str">
        <f>IF(Table1[[#This Row],[Customer Rating]]&gt;=3,"Good","Average")</f>
        <v>Good</v>
      </c>
    </row>
    <row r="21" spans="1:18" x14ac:dyDescent="0.25">
      <c r="A21" t="s">
        <v>58</v>
      </c>
      <c r="B21" s="4">
        <v>45307</v>
      </c>
      <c r="C21" s="4" t="str">
        <f>TEXT(Table1[[#This Row],[Order Date]],"mmm")</f>
        <v>Jan</v>
      </c>
      <c r="D21" s="4" t="str">
        <f>TEXT(Table1[[#This Row],[Order Date]],"yyyy")</f>
        <v>2024</v>
      </c>
      <c r="E21" t="s">
        <v>28</v>
      </c>
      <c r="F21" t="s">
        <v>12</v>
      </c>
      <c r="G21" t="s">
        <v>46</v>
      </c>
      <c r="H21" t="s">
        <v>14</v>
      </c>
      <c r="I21">
        <v>1</v>
      </c>
      <c r="J21" s="2">
        <v>32.99</v>
      </c>
      <c r="K21" s="2">
        <v>32.99</v>
      </c>
      <c r="L21">
        <v>4</v>
      </c>
      <c r="M21" t="str">
        <f>IF(Table1[[#This Row],[Customer Rating]]&gt;=3,"Good","Average")</f>
        <v>Good</v>
      </c>
      <c r="P21" s="7" t="s">
        <v>1077</v>
      </c>
    </row>
    <row r="22" spans="1:18" x14ac:dyDescent="0.25">
      <c r="A22" t="s">
        <v>59</v>
      </c>
      <c r="B22" s="4">
        <v>45847</v>
      </c>
      <c r="C22" s="4" t="str">
        <f>TEXT(Table1[[#This Row],[Order Date]],"mmm")</f>
        <v>Jul</v>
      </c>
      <c r="D22" s="4" t="str">
        <f>TEXT(Table1[[#This Row],[Order Date]],"yyyy")</f>
        <v>2025</v>
      </c>
      <c r="E22" t="s">
        <v>25</v>
      </c>
      <c r="F22" t="s">
        <v>12</v>
      </c>
      <c r="G22" t="s">
        <v>39</v>
      </c>
      <c r="H22" t="s">
        <v>14</v>
      </c>
      <c r="I22">
        <v>2</v>
      </c>
      <c r="J22" s="2">
        <v>24.99</v>
      </c>
      <c r="K22" s="2">
        <v>49.98</v>
      </c>
      <c r="L22">
        <v>5</v>
      </c>
      <c r="M22" t="str">
        <f>IF(Table1[[#This Row],[Customer Rating]]&gt;=3,"Good","Average")</f>
        <v>Good</v>
      </c>
    </row>
    <row r="23" spans="1:18" x14ac:dyDescent="0.25">
      <c r="A23" t="s">
        <v>60</v>
      </c>
      <c r="B23" s="4">
        <v>45653</v>
      </c>
      <c r="C23" s="4" t="str">
        <f>TEXT(Table1[[#This Row],[Order Date]],"mmm")</f>
        <v>Dec</v>
      </c>
      <c r="D23" s="4" t="str">
        <f>TEXT(Table1[[#This Row],[Order Date]],"yyyy")</f>
        <v>2024</v>
      </c>
      <c r="E23" t="s">
        <v>16</v>
      </c>
      <c r="F23" t="s">
        <v>29</v>
      </c>
      <c r="G23" t="s">
        <v>18</v>
      </c>
      <c r="H23" t="s">
        <v>19</v>
      </c>
      <c r="I23">
        <v>1</v>
      </c>
      <c r="J23" s="2">
        <v>9.99</v>
      </c>
      <c r="K23" s="2">
        <v>9.99</v>
      </c>
      <c r="L23">
        <v>5</v>
      </c>
      <c r="M23" t="str">
        <f>IF(Table1[[#This Row],[Customer Rating]]&gt;=3,"Good","Average")</f>
        <v>Good</v>
      </c>
    </row>
    <row r="24" spans="1:18" x14ac:dyDescent="0.25">
      <c r="A24" t="s">
        <v>61</v>
      </c>
      <c r="B24" s="4">
        <v>45317</v>
      </c>
      <c r="C24" s="4" t="str">
        <f>TEXT(Table1[[#This Row],[Order Date]],"mmm")</f>
        <v>Jan</v>
      </c>
      <c r="D24" s="4" t="str">
        <f>TEXT(Table1[[#This Row],[Order Date]],"yyyy")</f>
        <v>2024</v>
      </c>
      <c r="E24" t="s">
        <v>34</v>
      </c>
      <c r="F24" t="s">
        <v>17</v>
      </c>
      <c r="G24" t="s">
        <v>62</v>
      </c>
      <c r="H24" t="s">
        <v>23</v>
      </c>
      <c r="I24">
        <v>3</v>
      </c>
      <c r="J24" s="2">
        <v>9.99</v>
      </c>
      <c r="K24" s="2">
        <v>29.97</v>
      </c>
      <c r="L24">
        <v>4</v>
      </c>
      <c r="M24" t="str">
        <f>IF(Table1[[#This Row],[Customer Rating]]&gt;=3,"Good","Average")</f>
        <v>Good</v>
      </c>
    </row>
    <row r="25" spans="1:18" x14ac:dyDescent="0.25">
      <c r="A25" t="s">
        <v>63</v>
      </c>
      <c r="B25" s="4">
        <v>45839</v>
      </c>
      <c r="C25" s="4" t="str">
        <f>TEXT(Table1[[#This Row],[Order Date]],"mmm")</f>
        <v>Jul</v>
      </c>
      <c r="D25" s="4" t="str">
        <f>TEXT(Table1[[#This Row],[Order Date]],"yyyy")</f>
        <v>2025</v>
      </c>
      <c r="E25" t="s">
        <v>38</v>
      </c>
      <c r="F25" t="s">
        <v>17</v>
      </c>
      <c r="G25" t="s">
        <v>30</v>
      </c>
      <c r="H25" t="s">
        <v>19</v>
      </c>
      <c r="I25">
        <v>1</v>
      </c>
      <c r="J25" s="2">
        <v>7.99</v>
      </c>
      <c r="K25" s="2">
        <v>7.99</v>
      </c>
      <c r="L25">
        <v>5</v>
      </c>
      <c r="M25" t="str">
        <f>IF(Table1[[#This Row],[Customer Rating]]&gt;=3,"Good","Average")</f>
        <v>Good</v>
      </c>
    </row>
    <row r="26" spans="1:18" x14ac:dyDescent="0.25">
      <c r="A26" t="s">
        <v>64</v>
      </c>
      <c r="B26" s="4">
        <v>45484</v>
      </c>
      <c r="C26" s="4" t="str">
        <f>TEXT(Table1[[#This Row],[Order Date]],"mmm")</f>
        <v>Jul</v>
      </c>
      <c r="D26" s="4" t="str">
        <f>TEXT(Table1[[#This Row],[Order Date]],"yyyy")</f>
        <v>2024</v>
      </c>
      <c r="E26" t="s">
        <v>11</v>
      </c>
      <c r="F26" t="s">
        <v>29</v>
      </c>
      <c r="G26" t="s">
        <v>43</v>
      </c>
      <c r="H26" t="s">
        <v>23</v>
      </c>
      <c r="I26">
        <v>2</v>
      </c>
      <c r="J26" s="2">
        <v>11.99</v>
      </c>
      <c r="K26" s="2">
        <v>23.98</v>
      </c>
      <c r="L26">
        <v>4</v>
      </c>
      <c r="M26" t="str">
        <f>IF(Table1[[#This Row],[Customer Rating]]&gt;=3,"Good","Average")</f>
        <v>Good</v>
      </c>
    </row>
    <row r="27" spans="1:18" x14ac:dyDescent="0.25">
      <c r="A27" t="s">
        <v>65</v>
      </c>
      <c r="B27" s="4">
        <v>45806</v>
      </c>
      <c r="C27" s="4" t="str">
        <f>TEXT(Table1[[#This Row],[Order Date]],"mmm")</f>
        <v>May</v>
      </c>
      <c r="D27" s="4" t="str">
        <f>TEXT(Table1[[#This Row],[Order Date]],"yyyy")</f>
        <v>2025</v>
      </c>
      <c r="E27" t="s">
        <v>32</v>
      </c>
      <c r="F27" t="s">
        <v>12</v>
      </c>
      <c r="G27" t="s">
        <v>66</v>
      </c>
      <c r="H27" t="s">
        <v>67</v>
      </c>
      <c r="I27">
        <v>2</v>
      </c>
      <c r="J27" s="2">
        <v>7.99</v>
      </c>
      <c r="K27" s="2">
        <v>15.98</v>
      </c>
      <c r="L27">
        <v>4</v>
      </c>
      <c r="M27" t="str">
        <f>IF(Table1[[#This Row],[Customer Rating]]&gt;=3,"Good","Average")</f>
        <v>Good</v>
      </c>
    </row>
    <row r="28" spans="1:18" x14ac:dyDescent="0.25">
      <c r="A28" t="s">
        <v>68</v>
      </c>
      <c r="B28" s="4">
        <v>45427</v>
      </c>
      <c r="C28" s="4" t="str">
        <f>TEXT(Table1[[#This Row],[Order Date]],"mmm")</f>
        <v>May</v>
      </c>
      <c r="D28" s="4" t="str">
        <f>TEXT(Table1[[#This Row],[Order Date]],"yyyy")</f>
        <v>2024</v>
      </c>
      <c r="E28" t="s">
        <v>16</v>
      </c>
      <c r="F28" t="s">
        <v>29</v>
      </c>
      <c r="G28" t="s">
        <v>69</v>
      </c>
      <c r="H28" t="s">
        <v>67</v>
      </c>
      <c r="I28">
        <v>2</v>
      </c>
      <c r="J28" s="2">
        <v>8.99</v>
      </c>
      <c r="K28" s="2">
        <v>17.98</v>
      </c>
      <c r="L28">
        <v>4</v>
      </c>
      <c r="M28" t="str">
        <f>IF(Table1[[#This Row],[Customer Rating]]&gt;=3,"Good","Average")</f>
        <v>Good</v>
      </c>
    </row>
    <row r="29" spans="1:18" x14ac:dyDescent="0.25">
      <c r="A29" t="s">
        <v>70</v>
      </c>
      <c r="B29" s="4">
        <v>45855</v>
      </c>
      <c r="C29" s="4" t="str">
        <f>TEXT(Table1[[#This Row],[Order Date]],"mmm")</f>
        <v>Jul</v>
      </c>
      <c r="D29" s="4" t="str">
        <f>TEXT(Table1[[#This Row],[Order Date]],"yyyy")</f>
        <v>2025</v>
      </c>
      <c r="E29" t="s">
        <v>32</v>
      </c>
      <c r="F29" t="s">
        <v>29</v>
      </c>
      <c r="G29" t="s">
        <v>36</v>
      </c>
      <c r="H29" t="s">
        <v>14</v>
      </c>
      <c r="I29">
        <v>1</v>
      </c>
      <c r="J29" s="2">
        <v>16.989999999999998</v>
      </c>
      <c r="K29" s="2">
        <v>16.989999999999998</v>
      </c>
      <c r="L29">
        <v>5</v>
      </c>
      <c r="M29" t="str">
        <f>IF(Table1[[#This Row],[Customer Rating]]&gt;=3,"Good","Average")</f>
        <v>Good</v>
      </c>
    </row>
    <row r="30" spans="1:18" x14ac:dyDescent="0.25">
      <c r="A30" t="s">
        <v>71</v>
      </c>
      <c r="B30" s="4">
        <v>45348</v>
      </c>
      <c r="C30" s="4" t="str">
        <f>TEXT(Table1[[#This Row],[Order Date]],"mmm")</f>
        <v>Feb</v>
      </c>
      <c r="D30" s="4" t="str">
        <f>TEXT(Table1[[#This Row],[Order Date]],"yyyy")</f>
        <v>2024</v>
      </c>
      <c r="E30" t="s">
        <v>28</v>
      </c>
      <c r="F30" t="s">
        <v>17</v>
      </c>
      <c r="G30" t="s">
        <v>41</v>
      </c>
      <c r="H30" t="s">
        <v>23</v>
      </c>
      <c r="I30">
        <v>1</v>
      </c>
      <c r="J30" s="2">
        <v>12.99</v>
      </c>
      <c r="K30" s="2">
        <v>12.99</v>
      </c>
      <c r="L30">
        <v>3</v>
      </c>
      <c r="M30" t="str">
        <f>IF(Table1[[#This Row],[Customer Rating]]&gt;=3,"Good","Average")</f>
        <v>Good</v>
      </c>
    </row>
    <row r="31" spans="1:18" x14ac:dyDescent="0.25">
      <c r="A31" t="s">
        <v>72</v>
      </c>
      <c r="B31" s="4">
        <v>45523</v>
      </c>
      <c r="C31" s="4" t="str">
        <f>TEXT(Table1[[#This Row],[Order Date]],"mmm")</f>
        <v>Aug</v>
      </c>
      <c r="D31" s="4" t="str">
        <f>TEXT(Table1[[#This Row],[Order Date]],"yyyy")</f>
        <v>2024</v>
      </c>
      <c r="E31" t="s">
        <v>16</v>
      </c>
      <c r="F31" t="s">
        <v>12</v>
      </c>
      <c r="G31" t="s">
        <v>13</v>
      </c>
      <c r="H31" t="s">
        <v>14</v>
      </c>
      <c r="I31">
        <v>3</v>
      </c>
      <c r="J31" s="2">
        <v>18.989999999999998</v>
      </c>
      <c r="K31" s="2">
        <v>56.97</v>
      </c>
      <c r="L31">
        <v>4</v>
      </c>
      <c r="M31" t="str">
        <f>IF(Table1[[#This Row],[Customer Rating]]&gt;=3,"Good","Average")</f>
        <v>Good</v>
      </c>
    </row>
    <row r="32" spans="1:18" x14ac:dyDescent="0.25">
      <c r="A32" t="s">
        <v>73</v>
      </c>
      <c r="B32" s="4">
        <v>45457</v>
      </c>
      <c r="C32" s="4" t="str">
        <f>TEXT(Table1[[#This Row],[Order Date]],"mmm")</f>
        <v>Jun</v>
      </c>
      <c r="D32" s="4" t="str">
        <f>TEXT(Table1[[#This Row],[Order Date]],"yyyy")</f>
        <v>2024</v>
      </c>
      <c r="E32" t="s">
        <v>32</v>
      </c>
      <c r="F32" t="s">
        <v>17</v>
      </c>
      <c r="G32" t="s">
        <v>74</v>
      </c>
      <c r="H32" t="s">
        <v>14</v>
      </c>
      <c r="I32">
        <v>2</v>
      </c>
      <c r="J32" s="2">
        <v>14.99</v>
      </c>
      <c r="K32" s="2">
        <v>29.98</v>
      </c>
      <c r="L32">
        <v>5</v>
      </c>
      <c r="M32" t="str">
        <f>IF(Table1[[#This Row],[Customer Rating]]&gt;=3,"Good","Average")</f>
        <v>Good</v>
      </c>
    </row>
    <row r="33" spans="1:13" x14ac:dyDescent="0.25">
      <c r="A33" t="s">
        <v>75</v>
      </c>
      <c r="B33" s="4">
        <v>45462</v>
      </c>
      <c r="C33" s="4" t="str">
        <f>TEXT(Table1[[#This Row],[Order Date]],"mmm")</f>
        <v>Jun</v>
      </c>
      <c r="D33" s="4" t="str">
        <f>TEXT(Table1[[#This Row],[Order Date]],"yyyy")</f>
        <v>2024</v>
      </c>
      <c r="E33" t="s">
        <v>21</v>
      </c>
      <c r="F33" t="s">
        <v>12</v>
      </c>
      <c r="G33" t="s">
        <v>39</v>
      </c>
      <c r="H33" t="s">
        <v>14</v>
      </c>
      <c r="I33">
        <v>3</v>
      </c>
      <c r="J33" s="2">
        <v>24.99</v>
      </c>
      <c r="K33" s="2">
        <v>74.97</v>
      </c>
      <c r="L33">
        <v>5</v>
      </c>
      <c r="M33" t="str">
        <f>IF(Table1[[#This Row],[Customer Rating]]&gt;=3,"Good","Average")</f>
        <v>Good</v>
      </c>
    </row>
    <row r="34" spans="1:13" x14ac:dyDescent="0.25">
      <c r="A34" t="s">
        <v>76</v>
      </c>
      <c r="B34" s="4">
        <v>45953</v>
      </c>
      <c r="C34" s="4" t="str">
        <f>TEXT(Table1[[#This Row],[Order Date]],"mmm")</f>
        <v>Oct</v>
      </c>
      <c r="D34" s="4" t="str">
        <f>TEXT(Table1[[#This Row],[Order Date]],"yyyy")</f>
        <v>2025</v>
      </c>
      <c r="E34" t="s">
        <v>45</v>
      </c>
      <c r="F34" t="s">
        <v>12</v>
      </c>
      <c r="G34" t="s">
        <v>57</v>
      </c>
      <c r="H34" t="s">
        <v>14</v>
      </c>
      <c r="I34">
        <v>1</v>
      </c>
      <c r="J34" s="2">
        <v>15.99</v>
      </c>
      <c r="K34" s="2">
        <v>15.99</v>
      </c>
      <c r="L34">
        <v>5</v>
      </c>
      <c r="M34" t="str">
        <f>IF(Table1[[#This Row],[Customer Rating]]&gt;=3,"Good","Average")</f>
        <v>Good</v>
      </c>
    </row>
    <row r="35" spans="1:13" x14ac:dyDescent="0.25">
      <c r="A35" t="s">
        <v>77</v>
      </c>
      <c r="B35" s="4">
        <v>45910</v>
      </c>
      <c r="C35" s="4" t="str">
        <f>TEXT(Table1[[#This Row],[Order Date]],"mmm")</f>
        <v>Sep</v>
      </c>
      <c r="D35" s="4" t="str">
        <f>TEXT(Table1[[#This Row],[Order Date]],"yyyy")</f>
        <v>2025</v>
      </c>
      <c r="E35" t="s">
        <v>25</v>
      </c>
      <c r="F35" t="s">
        <v>29</v>
      </c>
      <c r="G35" t="s">
        <v>36</v>
      </c>
      <c r="H35" t="s">
        <v>14</v>
      </c>
      <c r="I35">
        <v>2</v>
      </c>
      <c r="J35" s="2">
        <v>16.989999999999998</v>
      </c>
      <c r="K35" s="2">
        <v>33.979999999999997</v>
      </c>
      <c r="L35">
        <v>4</v>
      </c>
      <c r="M35" t="str">
        <f>IF(Table1[[#This Row],[Customer Rating]]&gt;=3,"Good","Average")</f>
        <v>Good</v>
      </c>
    </row>
    <row r="36" spans="1:13" x14ac:dyDescent="0.25">
      <c r="A36" t="s">
        <v>78</v>
      </c>
      <c r="B36" s="4">
        <v>45599</v>
      </c>
      <c r="C36" s="4" t="str">
        <f>TEXT(Table1[[#This Row],[Order Date]],"mmm")</f>
        <v>Nov</v>
      </c>
      <c r="D36" s="4" t="str">
        <f>TEXT(Table1[[#This Row],[Order Date]],"yyyy")</f>
        <v>2024</v>
      </c>
      <c r="E36" t="s">
        <v>21</v>
      </c>
      <c r="F36" t="s">
        <v>17</v>
      </c>
      <c r="G36" t="s">
        <v>79</v>
      </c>
      <c r="H36" t="s">
        <v>67</v>
      </c>
      <c r="I36">
        <v>1</v>
      </c>
      <c r="J36" s="2">
        <v>10.99</v>
      </c>
      <c r="K36" s="2">
        <v>10.99</v>
      </c>
      <c r="L36">
        <v>4</v>
      </c>
      <c r="M36" t="str">
        <f>IF(Table1[[#This Row],[Customer Rating]]&gt;=3,"Good","Average")</f>
        <v>Good</v>
      </c>
    </row>
    <row r="37" spans="1:13" x14ac:dyDescent="0.25">
      <c r="A37" t="s">
        <v>80</v>
      </c>
      <c r="B37" s="4">
        <v>45583</v>
      </c>
      <c r="C37" s="4" t="str">
        <f>TEXT(Table1[[#This Row],[Order Date]],"mmm")</f>
        <v>Oct</v>
      </c>
      <c r="D37" s="4" t="str">
        <f>TEXT(Table1[[#This Row],[Order Date]],"yyyy")</f>
        <v>2024</v>
      </c>
      <c r="E37" t="s">
        <v>28</v>
      </c>
      <c r="F37" t="s">
        <v>29</v>
      </c>
      <c r="G37" t="s">
        <v>74</v>
      </c>
      <c r="H37" t="s">
        <v>14</v>
      </c>
      <c r="I37">
        <v>1</v>
      </c>
      <c r="J37" s="2">
        <v>14.99</v>
      </c>
      <c r="K37" s="2">
        <v>14.99</v>
      </c>
      <c r="L37">
        <v>5</v>
      </c>
      <c r="M37" t="str">
        <f>IF(Table1[[#This Row],[Customer Rating]]&gt;=3,"Good","Average")</f>
        <v>Good</v>
      </c>
    </row>
    <row r="38" spans="1:13" x14ac:dyDescent="0.25">
      <c r="A38" t="s">
        <v>81</v>
      </c>
      <c r="B38" s="4">
        <v>45697</v>
      </c>
      <c r="C38" s="4" t="str">
        <f>TEXT(Table1[[#This Row],[Order Date]],"mmm")</f>
        <v>Feb</v>
      </c>
      <c r="D38" s="4" t="str">
        <f>TEXT(Table1[[#This Row],[Order Date]],"yyyy")</f>
        <v>2025</v>
      </c>
      <c r="E38" t="s">
        <v>32</v>
      </c>
      <c r="F38" t="s">
        <v>29</v>
      </c>
      <c r="G38" t="s">
        <v>50</v>
      </c>
      <c r="H38" t="s">
        <v>14</v>
      </c>
      <c r="I38">
        <v>1</v>
      </c>
      <c r="J38" s="2">
        <v>22.99</v>
      </c>
      <c r="K38" s="2">
        <v>22.99</v>
      </c>
      <c r="L38">
        <v>4</v>
      </c>
      <c r="M38" t="str">
        <f>IF(Table1[[#This Row],[Customer Rating]]&gt;=3,"Good","Average")</f>
        <v>Good</v>
      </c>
    </row>
    <row r="39" spans="1:13" x14ac:dyDescent="0.25">
      <c r="A39" t="s">
        <v>82</v>
      </c>
      <c r="B39" s="4">
        <v>45643</v>
      </c>
      <c r="C39" s="4" t="str">
        <f>TEXT(Table1[[#This Row],[Order Date]],"mmm")</f>
        <v>Dec</v>
      </c>
      <c r="D39" s="4" t="str">
        <f>TEXT(Table1[[#This Row],[Order Date]],"yyyy")</f>
        <v>2024</v>
      </c>
      <c r="E39" t="s">
        <v>34</v>
      </c>
      <c r="F39" t="s">
        <v>29</v>
      </c>
      <c r="G39" t="s">
        <v>83</v>
      </c>
      <c r="H39" t="s">
        <v>14</v>
      </c>
      <c r="I39">
        <v>2</v>
      </c>
      <c r="J39" s="2">
        <v>17.989999999999998</v>
      </c>
      <c r="K39" s="2">
        <v>35.979999999999997</v>
      </c>
      <c r="L39">
        <v>5</v>
      </c>
      <c r="M39" t="str">
        <f>IF(Table1[[#This Row],[Customer Rating]]&gt;=3,"Good","Average")</f>
        <v>Good</v>
      </c>
    </row>
    <row r="40" spans="1:13" x14ac:dyDescent="0.25">
      <c r="A40" t="s">
        <v>84</v>
      </c>
      <c r="B40" s="4">
        <v>45798</v>
      </c>
      <c r="C40" s="4" t="str">
        <f>TEXT(Table1[[#This Row],[Order Date]],"mmm")</f>
        <v>May</v>
      </c>
      <c r="D40" s="4" t="str">
        <f>TEXT(Table1[[#This Row],[Order Date]],"yyyy")</f>
        <v>2025</v>
      </c>
      <c r="E40" t="s">
        <v>16</v>
      </c>
      <c r="F40" t="s">
        <v>17</v>
      </c>
      <c r="G40" t="s">
        <v>43</v>
      </c>
      <c r="H40" t="s">
        <v>23</v>
      </c>
      <c r="I40">
        <v>3</v>
      </c>
      <c r="J40" s="2">
        <v>11.99</v>
      </c>
      <c r="K40" s="2">
        <v>35.97</v>
      </c>
      <c r="L40">
        <v>4</v>
      </c>
      <c r="M40" t="str">
        <f>IF(Table1[[#This Row],[Customer Rating]]&gt;=3,"Good","Average")</f>
        <v>Good</v>
      </c>
    </row>
    <row r="41" spans="1:13" x14ac:dyDescent="0.25">
      <c r="A41" t="s">
        <v>85</v>
      </c>
      <c r="B41" s="4">
        <v>45885</v>
      </c>
      <c r="C41" s="4" t="str">
        <f>TEXT(Table1[[#This Row],[Order Date]],"mmm")</f>
        <v>Aug</v>
      </c>
      <c r="D41" s="4" t="str">
        <f>TEXT(Table1[[#This Row],[Order Date]],"yyyy")</f>
        <v>2025</v>
      </c>
      <c r="E41" t="s">
        <v>28</v>
      </c>
      <c r="F41" t="s">
        <v>17</v>
      </c>
      <c r="G41" t="s">
        <v>22</v>
      </c>
      <c r="H41" t="s">
        <v>23</v>
      </c>
      <c r="I41">
        <v>1</v>
      </c>
      <c r="J41" s="2">
        <v>8.99</v>
      </c>
      <c r="K41" s="2">
        <v>8.99</v>
      </c>
      <c r="L41">
        <v>5</v>
      </c>
      <c r="M41" t="str">
        <f>IF(Table1[[#This Row],[Customer Rating]]&gt;=3,"Good","Average")</f>
        <v>Good</v>
      </c>
    </row>
    <row r="42" spans="1:13" x14ac:dyDescent="0.25">
      <c r="A42" t="s">
        <v>86</v>
      </c>
      <c r="B42" s="4">
        <v>45361</v>
      </c>
      <c r="C42" s="4" t="str">
        <f>TEXT(Table1[[#This Row],[Order Date]],"mmm")</f>
        <v>Mar</v>
      </c>
      <c r="D42" s="4" t="str">
        <f>TEXT(Table1[[#This Row],[Order Date]],"yyyy")</f>
        <v>2024</v>
      </c>
      <c r="E42" t="s">
        <v>32</v>
      </c>
      <c r="F42" t="s">
        <v>29</v>
      </c>
      <c r="G42" t="s">
        <v>62</v>
      </c>
      <c r="H42" t="s">
        <v>23</v>
      </c>
      <c r="I42">
        <v>1</v>
      </c>
      <c r="J42" s="2">
        <v>9.99</v>
      </c>
      <c r="K42" s="2">
        <v>9.99</v>
      </c>
      <c r="L42">
        <v>4</v>
      </c>
      <c r="M42" t="str">
        <f>IF(Table1[[#This Row],[Customer Rating]]&gt;=3,"Good","Average")</f>
        <v>Good</v>
      </c>
    </row>
    <row r="43" spans="1:13" x14ac:dyDescent="0.25">
      <c r="A43" t="s">
        <v>87</v>
      </c>
      <c r="B43" s="4">
        <v>45970</v>
      </c>
      <c r="C43" s="4" t="str">
        <f>TEXT(Table1[[#This Row],[Order Date]],"mmm")</f>
        <v>Nov</v>
      </c>
      <c r="D43" s="4" t="str">
        <f>TEXT(Table1[[#This Row],[Order Date]],"yyyy")</f>
        <v>2025</v>
      </c>
      <c r="E43" t="s">
        <v>21</v>
      </c>
      <c r="F43" t="s">
        <v>17</v>
      </c>
      <c r="G43" t="s">
        <v>22</v>
      </c>
      <c r="H43" t="s">
        <v>23</v>
      </c>
      <c r="I43">
        <v>1</v>
      </c>
      <c r="J43" s="2">
        <v>8.99</v>
      </c>
      <c r="K43" s="2">
        <v>8.99</v>
      </c>
      <c r="L43">
        <v>5</v>
      </c>
      <c r="M43" t="str">
        <f>IF(Table1[[#This Row],[Customer Rating]]&gt;=3,"Good","Average")</f>
        <v>Good</v>
      </c>
    </row>
    <row r="44" spans="1:13" x14ac:dyDescent="0.25">
      <c r="A44" t="s">
        <v>88</v>
      </c>
      <c r="B44" s="4">
        <v>45963</v>
      </c>
      <c r="C44" s="4" t="str">
        <f>TEXT(Table1[[#This Row],[Order Date]],"mmm")</f>
        <v>Nov</v>
      </c>
      <c r="D44" s="4" t="str">
        <f>TEXT(Table1[[#This Row],[Order Date]],"yyyy")</f>
        <v>2025</v>
      </c>
      <c r="E44" t="s">
        <v>11</v>
      </c>
      <c r="F44" t="s">
        <v>29</v>
      </c>
      <c r="G44" t="s">
        <v>79</v>
      </c>
      <c r="H44" t="s">
        <v>67</v>
      </c>
      <c r="I44">
        <v>1</v>
      </c>
      <c r="J44" s="2">
        <v>10.99</v>
      </c>
      <c r="K44" s="2">
        <v>10.99</v>
      </c>
      <c r="L44">
        <v>4</v>
      </c>
      <c r="M44" t="str">
        <f>IF(Table1[[#This Row],[Customer Rating]]&gt;=3,"Good","Average")</f>
        <v>Good</v>
      </c>
    </row>
    <row r="45" spans="1:13" x14ac:dyDescent="0.25">
      <c r="A45" t="s">
        <v>89</v>
      </c>
      <c r="B45" s="4">
        <v>45750</v>
      </c>
      <c r="C45" s="4" t="str">
        <f>TEXT(Table1[[#This Row],[Order Date]],"mmm")</f>
        <v>Apr</v>
      </c>
      <c r="D45" s="4" t="str">
        <f>TEXT(Table1[[#This Row],[Order Date]],"yyyy")</f>
        <v>2025</v>
      </c>
      <c r="E45" t="s">
        <v>25</v>
      </c>
      <c r="F45" t="s">
        <v>12</v>
      </c>
      <c r="G45" t="s">
        <v>79</v>
      </c>
      <c r="H45" t="s">
        <v>67</v>
      </c>
      <c r="I45">
        <v>1</v>
      </c>
      <c r="J45" s="2">
        <v>10.99</v>
      </c>
      <c r="K45" s="2">
        <v>10.99</v>
      </c>
      <c r="L45">
        <v>4</v>
      </c>
      <c r="M45" t="str">
        <f>IF(Table1[[#This Row],[Customer Rating]]&gt;=3,"Good","Average")</f>
        <v>Good</v>
      </c>
    </row>
    <row r="46" spans="1:13" x14ac:dyDescent="0.25">
      <c r="A46" t="s">
        <v>90</v>
      </c>
      <c r="B46" s="4">
        <v>45572</v>
      </c>
      <c r="C46" s="4" t="str">
        <f>TEXT(Table1[[#This Row],[Order Date]],"mmm")</f>
        <v>Oct</v>
      </c>
      <c r="D46" s="4" t="str">
        <f>TEXT(Table1[[#This Row],[Order Date]],"yyyy")</f>
        <v>2024</v>
      </c>
      <c r="E46" t="s">
        <v>45</v>
      </c>
      <c r="F46" t="s">
        <v>29</v>
      </c>
      <c r="G46" t="s">
        <v>55</v>
      </c>
      <c r="H46" t="s">
        <v>23</v>
      </c>
      <c r="I46">
        <v>2</v>
      </c>
      <c r="J46" s="2">
        <v>10.99</v>
      </c>
      <c r="K46" s="2">
        <v>21.98</v>
      </c>
      <c r="L46">
        <v>5</v>
      </c>
      <c r="M46" t="str">
        <f>IF(Table1[[#This Row],[Customer Rating]]&gt;=3,"Good","Average")</f>
        <v>Good</v>
      </c>
    </row>
    <row r="47" spans="1:13" x14ac:dyDescent="0.25">
      <c r="A47" t="s">
        <v>91</v>
      </c>
      <c r="B47" s="4">
        <v>45800</v>
      </c>
      <c r="C47" s="4" t="str">
        <f>TEXT(Table1[[#This Row],[Order Date]],"mmm")</f>
        <v>May</v>
      </c>
      <c r="D47" s="4" t="str">
        <f>TEXT(Table1[[#This Row],[Order Date]],"yyyy")</f>
        <v>2025</v>
      </c>
      <c r="E47" t="s">
        <v>32</v>
      </c>
      <c r="F47" t="s">
        <v>29</v>
      </c>
      <c r="G47" t="s">
        <v>62</v>
      </c>
      <c r="H47" t="s">
        <v>23</v>
      </c>
      <c r="I47">
        <v>1</v>
      </c>
      <c r="J47" s="2">
        <v>9.99</v>
      </c>
      <c r="K47" s="2">
        <v>9.99</v>
      </c>
      <c r="L47">
        <v>5</v>
      </c>
      <c r="M47" t="str">
        <f>IF(Table1[[#This Row],[Customer Rating]]&gt;=3,"Good","Average")</f>
        <v>Good</v>
      </c>
    </row>
    <row r="48" spans="1:13" x14ac:dyDescent="0.25">
      <c r="A48" t="s">
        <v>92</v>
      </c>
      <c r="B48" s="4">
        <v>45720</v>
      </c>
      <c r="C48" s="4" t="str">
        <f>TEXT(Table1[[#This Row],[Order Date]],"mmm")</f>
        <v>Mar</v>
      </c>
      <c r="D48" s="4" t="str">
        <f>TEXT(Table1[[#This Row],[Order Date]],"yyyy")</f>
        <v>2025</v>
      </c>
      <c r="E48" t="s">
        <v>32</v>
      </c>
      <c r="F48" t="s">
        <v>29</v>
      </c>
      <c r="G48" t="s">
        <v>43</v>
      </c>
      <c r="H48" t="s">
        <v>23</v>
      </c>
      <c r="I48">
        <v>2</v>
      </c>
      <c r="J48" s="2">
        <v>11.99</v>
      </c>
      <c r="K48" s="2">
        <v>23.98</v>
      </c>
      <c r="L48">
        <v>5</v>
      </c>
      <c r="M48" t="str">
        <f>IF(Table1[[#This Row],[Customer Rating]]&gt;=3,"Good","Average")</f>
        <v>Good</v>
      </c>
    </row>
    <row r="49" spans="1:13" x14ac:dyDescent="0.25">
      <c r="A49" t="s">
        <v>93</v>
      </c>
      <c r="B49" s="4">
        <v>45382</v>
      </c>
      <c r="C49" s="4" t="str">
        <f>TEXT(Table1[[#This Row],[Order Date]],"mmm")</f>
        <v>Mar</v>
      </c>
      <c r="D49" s="4" t="str">
        <f>TEXT(Table1[[#This Row],[Order Date]],"yyyy")</f>
        <v>2024</v>
      </c>
      <c r="E49" t="s">
        <v>32</v>
      </c>
      <c r="F49" t="s">
        <v>12</v>
      </c>
      <c r="G49" t="s">
        <v>39</v>
      </c>
      <c r="H49" t="s">
        <v>14</v>
      </c>
      <c r="I49">
        <v>1</v>
      </c>
      <c r="J49" s="2">
        <v>24.99</v>
      </c>
      <c r="K49" s="2">
        <v>24.99</v>
      </c>
      <c r="L49">
        <v>4</v>
      </c>
      <c r="M49" t="str">
        <f>IF(Table1[[#This Row],[Customer Rating]]&gt;=3,"Good","Average")</f>
        <v>Good</v>
      </c>
    </row>
    <row r="50" spans="1:13" x14ac:dyDescent="0.25">
      <c r="A50" t="s">
        <v>94</v>
      </c>
      <c r="B50" s="4">
        <v>45609</v>
      </c>
      <c r="C50" s="4" t="str">
        <f>TEXT(Table1[[#This Row],[Order Date]],"mmm")</f>
        <v>Nov</v>
      </c>
      <c r="D50" s="4" t="str">
        <f>TEXT(Table1[[#This Row],[Order Date]],"yyyy")</f>
        <v>2024</v>
      </c>
      <c r="E50" t="s">
        <v>38</v>
      </c>
      <c r="F50" t="s">
        <v>29</v>
      </c>
      <c r="G50" t="s">
        <v>46</v>
      </c>
      <c r="H50" t="s">
        <v>14</v>
      </c>
      <c r="I50">
        <v>1</v>
      </c>
      <c r="J50" s="2">
        <v>32.99</v>
      </c>
      <c r="K50" s="2">
        <v>32.99</v>
      </c>
      <c r="L50">
        <v>5</v>
      </c>
      <c r="M50" t="str">
        <f>IF(Table1[[#This Row],[Customer Rating]]&gt;=3,"Good","Average")</f>
        <v>Good</v>
      </c>
    </row>
    <row r="51" spans="1:13" x14ac:dyDescent="0.25">
      <c r="A51" t="s">
        <v>95</v>
      </c>
      <c r="B51" s="4">
        <v>45343</v>
      </c>
      <c r="C51" s="4" t="str">
        <f>TEXT(Table1[[#This Row],[Order Date]],"mmm")</f>
        <v>Feb</v>
      </c>
      <c r="D51" s="4" t="str">
        <f>TEXT(Table1[[#This Row],[Order Date]],"yyyy")</f>
        <v>2024</v>
      </c>
      <c r="E51" t="s">
        <v>45</v>
      </c>
      <c r="F51" t="s">
        <v>12</v>
      </c>
      <c r="G51" t="s">
        <v>62</v>
      </c>
      <c r="H51" t="s">
        <v>23</v>
      </c>
      <c r="I51">
        <v>1</v>
      </c>
      <c r="J51" s="2">
        <v>9.99</v>
      </c>
      <c r="K51" s="2">
        <v>9.99</v>
      </c>
      <c r="L51">
        <v>3</v>
      </c>
      <c r="M51" t="str">
        <f>IF(Table1[[#This Row],[Customer Rating]]&gt;=3,"Good","Average")</f>
        <v>Good</v>
      </c>
    </row>
    <row r="52" spans="1:13" x14ac:dyDescent="0.25">
      <c r="A52" t="s">
        <v>96</v>
      </c>
      <c r="B52" s="4">
        <v>45908</v>
      </c>
      <c r="C52" s="4" t="str">
        <f>TEXT(Table1[[#This Row],[Order Date]],"mmm")</f>
        <v>Sep</v>
      </c>
      <c r="D52" s="4" t="str">
        <f>TEXT(Table1[[#This Row],[Order Date]],"yyyy")</f>
        <v>2025</v>
      </c>
      <c r="E52" t="s">
        <v>97</v>
      </c>
      <c r="F52" t="s">
        <v>29</v>
      </c>
      <c r="G52" t="s">
        <v>18</v>
      </c>
      <c r="H52" t="s">
        <v>19</v>
      </c>
      <c r="I52">
        <v>1</v>
      </c>
      <c r="J52" s="2">
        <v>9.99</v>
      </c>
      <c r="K52" s="2">
        <v>9.99</v>
      </c>
      <c r="L52">
        <v>5</v>
      </c>
      <c r="M52" t="str">
        <f>IF(Table1[[#This Row],[Customer Rating]]&gt;=3,"Good","Average")</f>
        <v>Good</v>
      </c>
    </row>
    <row r="53" spans="1:13" x14ac:dyDescent="0.25">
      <c r="A53" t="s">
        <v>98</v>
      </c>
      <c r="B53" s="4">
        <v>45553</v>
      </c>
      <c r="C53" s="4" t="str">
        <f>TEXT(Table1[[#This Row],[Order Date]],"mmm")</f>
        <v>Sep</v>
      </c>
      <c r="D53" s="4" t="str">
        <f>TEXT(Table1[[#This Row],[Order Date]],"yyyy")</f>
        <v>2024</v>
      </c>
      <c r="E53" t="s">
        <v>38</v>
      </c>
      <c r="F53" t="s">
        <v>12</v>
      </c>
      <c r="G53" t="s">
        <v>36</v>
      </c>
      <c r="H53" t="s">
        <v>14</v>
      </c>
      <c r="I53">
        <v>1</v>
      </c>
      <c r="J53" s="2">
        <v>16.989999999999998</v>
      </c>
      <c r="K53" s="2">
        <v>16.989999999999998</v>
      </c>
      <c r="L53">
        <v>3</v>
      </c>
      <c r="M53" t="str">
        <f>IF(Table1[[#This Row],[Customer Rating]]&gt;=3,"Good","Average")</f>
        <v>Good</v>
      </c>
    </row>
    <row r="54" spans="1:13" x14ac:dyDescent="0.25">
      <c r="A54" t="s">
        <v>99</v>
      </c>
      <c r="B54" s="4">
        <v>45304</v>
      </c>
      <c r="C54" s="4" t="str">
        <f>TEXT(Table1[[#This Row],[Order Date]],"mmm")</f>
        <v>Jan</v>
      </c>
      <c r="D54" s="4" t="str">
        <f>TEXT(Table1[[#This Row],[Order Date]],"yyyy")</f>
        <v>2024</v>
      </c>
      <c r="E54" t="s">
        <v>34</v>
      </c>
      <c r="F54" t="s">
        <v>17</v>
      </c>
      <c r="G54" t="s">
        <v>43</v>
      </c>
      <c r="H54" t="s">
        <v>23</v>
      </c>
      <c r="I54">
        <v>3</v>
      </c>
      <c r="J54" s="2">
        <v>11.99</v>
      </c>
      <c r="K54" s="2">
        <v>35.97</v>
      </c>
      <c r="L54">
        <v>4</v>
      </c>
      <c r="M54" t="str">
        <f>IF(Table1[[#This Row],[Customer Rating]]&gt;=3,"Good","Average")</f>
        <v>Good</v>
      </c>
    </row>
    <row r="55" spans="1:13" x14ac:dyDescent="0.25">
      <c r="A55" t="s">
        <v>100</v>
      </c>
      <c r="B55" s="4">
        <v>45573</v>
      </c>
      <c r="C55" s="4" t="str">
        <f>TEXT(Table1[[#This Row],[Order Date]],"mmm")</f>
        <v>Oct</v>
      </c>
      <c r="D55" s="4" t="str">
        <f>TEXT(Table1[[#This Row],[Order Date]],"yyyy")</f>
        <v>2024</v>
      </c>
      <c r="E55" t="s">
        <v>97</v>
      </c>
      <c r="F55" t="s">
        <v>29</v>
      </c>
      <c r="G55" t="s">
        <v>36</v>
      </c>
      <c r="H55" t="s">
        <v>14</v>
      </c>
      <c r="I55">
        <v>1</v>
      </c>
      <c r="J55" s="2">
        <v>16.989999999999998</v>
      </c>
      <c r="K55" s="2">
        <v>16.989999999999998</v>
      </c>
      <c r="L55">
        <v>4</v>
      </c>
      <c r="M55" t="str">
        <f>IF(Table1[[#This Row],[Customer Rating]]&gt;=3,"Good","Average")</f>
        <v>Good</v>
      </c>
    </row>
    <row r="56" spans="1:13" x14ac:dyDescent="0.25">
      <c r="A56" t="s">
        <v>101</v>
      </c>
      <c r="B56" s="4">
        <v>45956</v>
      </c>
      <c r="C56" s="4" t="str">
        <f>TEXT(Table1[[#This Row],[Order Date]],"mmm")</f>
        <v>Oct</v>
      </c>
      <c r="D56" s="4" t="str">
        <f>TEXT(Table1[[#This Row],[Order Date]],"yyyy")</f>
        <v>2025</v>
      </c>
      <c r="E56" t="s">
        <v>16</v>
      </c>
      <c r="F56" t="s">
        <v>12</v>
      </c>
      <c r="G56" t="s">
        <v>83</v>
      </c>
      <c r="H56" t="s">
        <v>14</v>
      </c>
      <c r="I56">
        <v>1</v>
      </c>
      <c r="J56" s="2">
        <v>17.989999999999998</v>
      </c>
      <c r="K56" s="2">
        <v>17.989999999999998</v>
      </c>
      <c r="L56">
        <v>5</v>
      </c>
      <c r="M56" t="str">
        <f>IF(Table1[[#This Row],[Customer Rating]]&gt;=3,"Good","Average")</f>
        <v>Good</v>
      </c>
    </row>
    <row r="57" spans="1:13" x14ac:dyDescent="0.25">
      <c r="A57" t="s">
        <v>102</v>
      </c>
      <c r="B57" s="4">
        <v>45306</v>
      </c>
      <c r="C57" s="4" t="str">
        <f>TEXT(Table1[[#This Row],[Order Date]],"mmm")</f>
        <v>Jan</v>
      </c>
      <c r="D57" s="4" t="str">
        <f>TEXT(Table1[[#This Row],[Order Date]],"yyyy")</f>
        <v>2024</v>
      </c>
      <c r="E57" t="s">
        <v>16</v>
      </c>
      <c r="F57" t="s">
        <v>29</v>
      </c>
      <c r="G57" t="s">
        <v>69</v>
      </c>
      <c r="H57" t="s">
        <v>67</v>
      </c>
      <c r="I57">
        <v>1</v>
      </c>
      <c r="J57" s="2">
        <v>8.99</v>
      </c>
      <c r="K57" s="2">
        <v>8.99</v>
      </c>
      <c r="L57">
        <v>5</v>
      </c>
      <c r="M57" t="str">
        <f>IF(Table1[[#This Row],[Customer Rating]]&gt;=3,"Good","Average")</f>
        <v>Good</v>
      </c>
    </row>
    <row r="58" spans="1:13" x14ac:dyDescent="0.25">
      <c r="A58" t="s">
        <v>103</v>
      </c>
      <c r="B58" s="4">
        <v>46018</v>
      </c>
      <c r="C58" s="4" t="str">
        <f>TEXT(Table1[[#This Row],[Order Date]],"mmm")</f>
        <v>Dec</v>
      </c>
      <c r="D58" s="4" t="str">
        <f>TEXT(Table1[[#This Row],[Order Date]],"yyyy")</f>
        <v>2025</v>
      </c>
      <c r="E58" t="s">
        <v>21</v>
      </c>
      <c r="F58" t="s">
        <v>29</v>
      </c>
      <c r="G58" t="s">
        <v>22</v>
      </c>
      <c r="H58" t="s">
        <v>23</v>
      </c>
      <c r="I58">
        <v>2</v>
      </c>
      <c r="J58" s="2">
        <v>8.99</v>
      </c>
      <c r="K58" s="2">
        <v>17.98</v>
      </c>
      <c r="L58">
        <v>4</v>
      </c>
      <c r="M58" t="str">
        <f>IF(Table1[[#This Row],[Customer Rating]]&gt;=3,"Good","Average")</f>
        <v>Good</v>
      </c>
    </row>
    <row r="59" spans="1:13" x14ac:dyDescent="0.25">
      <c r="A59" t="s">
        <v>104</v>
      </c>
      <c r="B59" s="4">
        <v>45566</v>
      </c>
      <c r="C59" s="4" t="str">
        <f>TEXT(Table1[[#This Row],[Order Date]],"mmm")</f>
        <v>Oct</v>
      </c>
      <c r="D59" s="4" t="str">
        <f>TEXT(Table1[[#This Row],[Order Date]],"yyyy")</f>
        <v>2024</v>
      </c>
      <c r="E59" t="s">
        <v>28</v>
      </c>
      <c r="F59" t="s">
        <v>12</v>
      </c>
      <c r="G59" t="s">
        <v>79</v>
      </c>
      <c r="H59" t="s">
        <v>67</v>
      </c>
      <c r="I59">
        <v>3</v>
      </c>
      <c r="J59" s="2">
        <v>10.99</v>
      </c>
      <c r="K59" s="2">
        <v>32.97</v>
      </c>
      <c r="L59">
        <v>4</v>
      </c>
      <c r="M59" t="str">
        <f>IF(Table1[[#This Row],[Customer Rating]]&gt;=3,"Good","Average")</f>
        <v>Good</v>
      </c>
    </row>
    <row r="60" spans="1:13" x14ac:dyDescent="0.25">
      <c r="A60" t="s">
        <v>105</v>
      </c>
      <c r="B60" s="4">
        <v>45355</v>
      </c>
      <c r="C60" s="4" t="str">
        <f>TEXT(Table1[[#This Row],[Order Date]],"mmm")</f>
        <v>Mar</v>
      </c>
      <c r="D60" s="4" t="str">
        <f>TEXT(Table1[[#This Row],[Order Date]],"yyyy")</f>
        <v>2024</v>
      </c>
      <c r="E60" t="s">
        <v>28</v>
      </c>
      <c r="F60" t="s">
        <v>12</v>
      </c>
      <c r="G60" t="s">
        <v>36</v>
      </c>
      <c r="H60" t="s">
        <v>14</v>
      </c>
      <c r="I60">
        <v>3</v>
      </c>
      <c r="J60" s="2">
        <v>16.989999999999998</v>
      </c>
      <c r="K60" s="2">
        <v>50.97</v>
      </c>
      <c r="L60">
        <v>5</v>
      </c>
      <c r="M60" t="str">
        <f>IF(Table1[[#This Row],[Customer Rating]]&gt;=3,"Good","Average")</f>
        <v>Good</v>
      </c>
    </row>
    <row r="61" spans="1:13" x14ac:dyDescent="0.25">
      <c r="A61" t="s">
        <v>106</v>
      </c>
      <c r="B61" s="4">
        <v>45304</v>
      </c>
      <c r="C61" s="4" t="str">
        <f>TEXT(Table1[[#This Row],[Order Date]],"mmm")</f>
        <v>Jan</v>
      </c>
      <c r="D61" s="4" t="str">
        <f>TEXT(Table1[[#This Row],[Order Date]],"yyyy")</f>
        <v>2024</v>
      </c>
      <c r="E61" t="s">
        <v>28</v>
      </c>
      <c r="F61" t="s">
        <v>29</v>
      </c>
      <c r="G61" t="s">
        <v>55</v>
      </c>
      <c r="H61" t="s">
        <v>23</v>
      </c>
      <c r="I61">
        <v>3</v>
      </c>
      <c r="J61" s="2">
        <v>10.99</v>
      </c>
      <c r="K61" s="2">
        <v>32.97</v>
      </c>
      <c r="L61">
        <v>4</v>
      </c>
      <c r="M61" t="str">
        <f>IF(Table1[[#This Row],[Customer Rating]]&gt;=3,"Good","Average")</f>
        <v>Good</v>
      </c>
    </row>
    <row r="62" spans="1:13" x14ac:dyDescent="0.25">
      <c r="A62" t="s">
        <v>107</v>
      </c>
      <c r="B62" s="4">
        <v>45812</v>
      </c>
      <c r="C62" s="4" t="str">
        <f>TEXT(Table1[[#This Row],[Order Date]],"mmm")</f>
        <v>Jun</v>
      </c>
      <c r="D62" s="4" t="str">
        <f>TEXT(Table1[[#This Row],[Order Date]],"yyyy")</f>
        <v>2025</v>
      </c>
      <c r="E62" t="s">
        <v>34</v>
      </c>
      <c r="F62" t="s">
        <v>12</v>
      </c>
      <c r="G62" t="s">
        <v>13</v>
      </c>
      <c r="H62" t="s">
        <v>14</v>
      </c>
      <c r="I62">
        <v>3</v>
      </c>
      <c r="J62" s="2">
        <v>18.989999999999998</v>
      </c>
      <c r="K62" s="2">
        <v>56.97</v>
      </c>
      <c r="L62">
        <v>4</v>
      </c>
      <c r="M62" t="str">
        <f>IF(Table1[[#This Row],[Customer Rating]]&gt;=3,"Good","Average")</f>
        <v>Good</v>
      </c>
    </row>
    <row r="63" spans="1:13" x14ac:dyDescent="0.25">
      <c r="A63" t="s">
        <v>108</v>
      </c>
      <c r="B63" s="4">
        <v>45681</v>
      </c>
      <c r="C63" s="4" t="str">
        <f>TEXT(Table1[[#This Row],[Order Date]],"mmm")</f>
        <v>Jan</v>
      </c>
      <c r="D63" s="4" t="str">
        <f>TEXT(Table1[[#This Row],[Order Date]],"yyyy")</f>
        <v>2025</v>
      </c>
      <c r="E63" t="s">
        <v>21</v>
      </c>
      <c r="F63" t="s">
        <v>12</v>
      </c>
      <c r="G63" t="s">
        <v>52</v>
      </c>
      <c r="H63" t="s">
        <v>19</v>
      </c>
      <c r="I63">
        <v>2</v>
      </c>
      <c r="J63" s="2">
        <v>6.99</v>
      </c>
      <c r="K63" s="2">
        <v>13.98</v>
      </c>
      <c r="L63">
        <v>4</v>
      </c>
      <c r="M63" t="str">
        <f>IF(Table1[[#This Row],[Customer Rating]]&gt;=3,"Good","Average")</f>
        <v>Good</v>
      </c>
    </row>
    <row r="64" spans="1:13" x14ac:dyDescent="0.25">
      <c r="A64" t="s">
        <v>109</v>
      </c>
      <c r="B64" s="4">
        <v>45359</v>
      </c>
      <c r="C64" s="4" t="str">
        <f>TEXT(Table1[[#This Row],[Order Date]],"mmm")</f>
        <v>Mar</v>
      </c>
      <c r="D64" s="4" t="str">
        <f>TEXT(Table1[[#This Row],[Order Date]],"yyyy")</f>
        <v>2024</v>
      </c>
      <c r="E64" t="s">
        <v>16</v>
      </c>
      <c r="F64" t="s">
        <v>29</v>
      </c>
      <c r="G64" t="s">
        <v>13</v>
      </c>
      <c r="H64" t="s">
        <v>14</v>
      </c>
      <c r="I64">
        <v>2</v>
      </c>
      <c r="J64" s="2">
        <v>18.989999999999998</v>
      </c>
      <c r="K64" s="2">
        <v>37.979999999999997</v>
      </c>
      <c r="L64">
        <v>3</v>
      </c>
      <c r="M64" t="str">
        <f>IF(Table1[[#This Row],[Customer Rating]]&gt;=3,"Good","Average")</f>
        <v>Good</v>
      </c>
    </row>
    <row r="65" spans="1:13" x14ac:dyDescent="0.25">
      <c r="A65" t="s">
        <v>110</v>
      </c>
      <c r="B65" s="4">
        <v>45684</v>
      </c>
      <c r="C65" s="4" t="str">
        <f>TEXT(Table1[[#This Row],[Order Date]],"mmm")</f>
        <v>Jan</v>
      </c>
      <c r="D65" s="4" t="str">
        <f>TEXT(Table1[[#This Row],[Order Date]],"yyyy")</f>
        <v>2025</v>
      </c>
      <c r="E65" t="s">
        <v>28</v>
      </c>
      <c r="F65" t="s">
        <v>17</v>
      </c>
      <c r="G65" t="s">
        <v>57</v>
      </c>
      <c r="H65" t="s">
        <v>14</v>
      </c>
      <c r="I65">
        <v>1</v>
      </c>
      <c r="J65" s="2">
        <v>15.99</v>
      </c>
      <c r="K65" s="2">
        <v>15.99</v>
      </c>
      <c r="L65">
        <v>2</v>
      </c>
      <c r="M65" t="str">
        <f>IF(Table1[[#This Row],[Customer Rating]]&gt;=3,"Good","Average")</f>
        <v>Average</v>
      </c>
    </row>
    <row r="66" spans="1:13" x14ac:dyDescent="0.25">
      <c r="A66" t="s">
        <v>111</v>
      </c>
      <c r="B66" s="4">
        <v>45715</v>
      </c>
      <c r="C66" s="4" t="str">
        <f>TEXT(Table1[[#This Row],[Order Date]],"mmm")</f>
        <v>Feb</v>
      </c>
      <c r="D66" s="4" t="str">
        <f>TEXT(Table1[[#This Row],[Order Date]],"yyyy")</f>
        <v>2025</v>
      </c>
      <c r="E66" t="s">
        <v>45</v>
      </c>
      <c r="F66" t="s">
        <v>17</v>
      </c>
      <c r="G66" t="s">
        <v>112</v>
      </c>
      <c r="H66" t="s">
        <v>19</v>
      </c>
      <c r="I66">
        <v>2</v>
      </c>
      <c r="J66" s="2">
        <v>5.99</v>
      </c>
      <c r="K66" s="2">
        <v>11.98</v>
      </c>
      <c r="L66">
        <v>4</v>
      </c>
      <c r="M66" t="str">
        <f>IF(Table1[[#This Row],[Customer Rating]]&gt;=3,"Good","Average")</f>
        <v>Good</v>
      </c>
    </row>
    <row r="67" spans="1:13" x14ac:dyDescent="0.25">
      <c r="A67" t="s">
        <v>113</v>
      </c>
      <c r="B67" s="4">
        <v>45614</v>
      </c>
      <c r="C67" s="4" t="str">
        <f>TEXT(Table1[[#This Row],[Order Date]],"mmm")</f>
        <v>Nov</v>
      </c>
      <c r="D67" s="4" t="str">
        <f>TEXT(Table1[[#This Row],[Order Date]],"yyyy")</f>
        <v>2024</v>
      </c>
      <c r="E67" t="s">
        <v>16</v>
      </c>
      <c r="F67" t="s">
        <v>12</v>
      </c>
      <c r="G67" t="s">
        <v>22</v>
      </c>
      <c r="H67" t="s">
        <v>23</v>
      </c>
      <c r="I67">
        <v>1</v>
      </c>
      <c r="J67" s="2">
        <v>8.99</v>
      </c>
      <c r="K67" s="2">
        <v>8.99</v>
      </c>
      <c r="L67">
        <v>5</v>
      </c>
      <c r="M67" t="str">
        <f>IF(Table1[[#This Row],[Customer Rating]]&gt;=3,"Good","Average")</f>
        <v>Good</v>
      </c>
    </row>
    <row r="68" spans="1:13" x14ac:dyDescent="0.25">
      <c r="A68" t="s">
        <v>114</v>
      </c>
      <c r="B68" s="4">
        <v>45399</v>
      </c>
      <c r="C68" s="4" t="str">
        <f>TEXT(Table1[[#This Row],[Order Date]],"mmm")</f>
        <v>Apr</v>
      </c>
      <c r="D68" s="4" t="str">
        <f>TEXT(Table1[[#This Row],[Order Date]],"yyyy")</f>
        <v>2024</v>
      </c>
      <c r="E68" t="s">
        <v>11</v>
      </c>
      <c r="F68" t="s">
        <v>29</v>
      </c>
      <c r="G68" t="s">
        <v>13</v>
      </c>
      <c r="H68" t="s">
        <v>14</v>
      </c>
      <c r="I68">
        <v>2</v>
      </c>
      <c r="J68" s="2">
        <v>18.989999999999998</v>
      </c>
      <c r="K68" s="2">
        <v>37.979999999999997</v>
      </c>
      <c r="L68">
        <v>4</v>
      </c>
      <c r="M68" t="str">
        <f>IF(Table1[[#This Row],[Customer Rating]]&gt;=3,"Good","Average")</f>
        <v>Good</v>
      </c>
    </row>
    <row r="69" spans="1:13" x14ac:dyDescent="0.25">
      <c r="A69" t="s">
        <v>115</v>
      </c>
      <c r="B69" s="4">
        <v>45374</v>
      </c>
      <c r="C69" s="4" t="str">
        <f>TEXT(Table1[[#This Row],[Order Date]],"mmm")</f>
        <v>Mar</v>
      </c>
      <c r="D69" s="4" t="str">
        <f>TEXT(Table1[[#This Row],[Order Date]],"yyyy")</f>
        <v>2024</v>
      </c>
      <c r="E69" t="s">
        <v>11</v>
      </c>
      <c r="F69" t="s">
        <v>29</v>
      </c>
      <c r="G69" t="s">
        <v>30</v>
      </c>
      <c r="H69" t="s">
        <v>19</v>
      </c>
      <c r="I69">
        <v>2</v>
      </c>
      <c r="J69" s="2">
        <v>7.99</v>
      </c>
      <c r="K69" s="2">
        <v>15.98</v>
      </c>
      <c r="L69">
        <v>4</v>
      </c>
      <c r="M69" t="str">
        <f>IF(Table1[[#This Row],[Customer Rating]]&gt;=3,"Good","Average")</f>
        <v>Good</v>
      </c>
    </row>
    <row r="70" spans="1:13" x14ac:dyDescent="0.25">
      <c r="A70" t="s">
        <v>116</v>
      </c>
      <c r="B70" s="4">
        <v>45480</v>
      </c>
      <c r="C70" s="4" t="str">
        <f>TEXT(Table1[[#This Row],[Order Date]],"mmm")</f>
        <v>Jul</v>
      </c>
      <c r="D70" s="4" t="str">
        <f>TEXT(Table1[[#This Row],[Order Date]],"yyyy")</f>
        <v>2024</v>
      </c>
      <c r="E70" t="s">
        <v>97</v>
      </c>
      <c r="F70" t="s">
        <v>29</v>
      </c>
      <c r="G70" t="s">
        <v>39</v>
      </c>
      <c r="H70" t="s">
        <v>14</v>
      </c>
      <c r="I70">
        <v>2</v>
      </c>
      <c r="J70" s="2">
        <v>24.99</v>
      </c>
      <c r="K70" s="2">
        <v>49.98</v>
      </c>
      <c r="L70">
        <v>5</v>
      </c>
      <c r="M70" t="str">
        <f>IF(Table1[[#This Row],[Customer Rating]]&gt;=3,"Good","Average")</f>
        <v>Good</v>
      </c>
    </row>
    <row r="71" spans="1:13" x14ac:dyDescent="0.25">
      <c r="A71" t="s">
        <v>117</v>
      </c>
      <c r="B71" s="4">
        <v>45509</v>
      </c>
      <c r="C71" s="4" t="str">
        <f>TEXT(Table1[[#This Row],[Order Date]],"mmm")</f>
        <v>Aug</v>
      </c>
      <c r="D71" s="4" t="str">
        <f>TEXT(Table1[[#This Row],[Order Date]],"yyyy")</f>
        <v>2024</v>
      </c>
      <c r="E71" t="s">
        <v>21</v>
      </c>
      <c r="F71" t="s">
        <v>29</v>
      </c>
      <c r="G71" t="s">
        <v>52</v>
      </c>
      <c r="H71" t="s">
        <v>19</v>
      </c>
      <c r="I71">
        <v>2</v>
      </c>
      <c r="J71" s="2">
        <v>6.99</v>
      </c>
      <c r="K71" s="2">
        <v>13.98</v>
      </c>
      <c r="L71">
        <v>3</v>
      </c>
      <c r="M71" t="str">
        <f>IF(Table1[[#This Row],[Customer Rating]]&gt;=3,"Good","Average")</f>
        <v>Good</v>
      </c>
    </row>
    <row r="72" spans="1:13" x14ac:dyDescent="0.25">
      <c r="A72" t="s">
        <v>118</v>
      </c>
      <c r="B72" s="4">
        <v>45513</v>
      </c>
      <c r="C72" s="4" t="str">
        <f>TEXT(Table1[[#This Row],[Order Date]],"mmm")</f>
        <v>Aug</v>
      </c>
      <c r="D72" s="4" t="str">
        <f>TEXT(Table1[[#This Row],[Order Date]],"yyyy")</f>
        <v>2024</v>
      </c>
      <c r="E72" t="s">
        <v>21</v>
      </c>
      <c r="F72" t="s">
        <v>12</v>
      </c>
      <c r="G72" t="s">
        <v>119</v>
      </c>
      <c r="H72" t="s">
        <v>19</v>
      </c>
      <c r="I72">
        <v>1</v>
      </c>
      <c r="J72" s="2">
        <v>4.99</v>
      </c>
      <c r="K72" s="2">
        <v>4.99</v>
      </c>
      <c r="L72">
        <v>4</v>
      </c>
      <c r="M72" t="str">
        <f>IF(Table1[[#This Row],[Customer Rating]]&gt;=3,"Good","Average")</f>
        <v>Good</v>
      </c>
    </row>
    <row r="73" spans="1:13" x14ac:dyDescent="0.25">
      <c r="A73" t="s">
        <v>120</v>
      </c>
      <c r="B73" s="4">
        <v>45343</v>
      </c>
      <c r="C73" s="4" t="str">
        <f>TEXT(Table1[[#This Row],[Order Date]],"mmm")</f>
        <v>Feb</v>
      </c>
      <c r="D73" s="4" t="str">
        <f>TEXT(Table1[[#This Row],[Order Date]],"yyyy")</f>
        <v>2024</v>
      </c>
      <c r="E73" t="s">
        <v>11</v>
      </c>
      <c r="F73" t="s">
        <v>17</v>
      </c>
      <c r="G73" t="s">
        <v>55</v>
      </c>
      <c r="H73" t="s">
        <v>23</v>
      </c>
      <c r="I73">
        <v>1</v>
      </c>
      <c r="J73" s="2">
        <v>10.99</v>
      </c>
      <c r="K73" s="2">
        <v>10.99</v>
      </c>
      <c r="L73">
        <v>5</v>
      </c>
      <c r="M73" t="str">
        <f>IF(Table1[[#This Row],[Customer Rating]]&gt;=3,"Good","Average")</f>
        <v>Good</v>
      </c>
    </row>
    <row r="74" spans="1:13" x14ac:dyDescent="0.25">
      <c r="A74" t="s">
        <v>121</v>
      </c>
      <c r="B74" s="4">
        <v>45488</v>
      </c>
      <c r="C74" s="4" t="str">
        <f>TEXT(Table1[[#This Row],[Order Date]],"mmm")</f>
        <v>Jul</v>
      </c>
      <c r="D74" s="4" t="str">
        <f>TEXT(Table1[[#This Row],[Order Date]],"yyyy")</f>
        <v>2024</v>
      </c>
      <c r="E74" t="s">
        <v>38</v>
      </c>
      <c r="F74" t="s">
        <v>29</v>
      </c>
      <c r="G74" t="s">
        <v>18</v>
      </c>
      <c r="H74" t="s">
        <v>19</v>
      </c>
      <c r="I74">
        <v>1</v>
      </c>
      <c r="J74" s="2">
        <v>9.99</v>
      </c>
      <c r="K74" s="2">
        <v>9.99</v>
      </c>
      <c r="L74">
        <v>4</v>
      </c>
      <c r="M74" t="str">
        <f>IF(Table1[[#This Row],[Customer Rating]]&gt;=3,"Good","Average")</f>
        <v>Good</v>
      </c>
    </row>
    <row r="75" spans="1:13" x14ac:dyDescent="0.25">
      <c r="A75" t="s">
        <v>122</v>
      </c>
      <c r="B75" s="4">
        <v>45447</v>
      </c>
      <c r="C75" s="4" t="str">
        <f>TEXT(Table1[[#This Row],[Order Date]],"mmm")</f>
        <v>Jun</v>
      </c>
      <c r="D75" s="4" t="str">
        <f>TEXT(Table1[[#This Row],[Order Date]],"yyyy")</f>
        <v>2024</v>
      </c>
      <c r="E75" t="s">
        <v>16</v>
      </c>
      <c r="F75" t="s">
        <v>12</v>
      </c>
      <c r="G75" t="s">
        <v>74</v>
      </c>
      <c r="H75" t="s">
        <v>14</v>
      </c>
      <c r="I75">
        <v>1</v>
      </c>
      <c r="J75" s="2">
        <v>14.99</v>
      </c>
      <c r="K75" s="2">
        <v>14.99</v>
      </c>
      <c r="L75">
        <v>4</v>
      </c>
      <c r="M75" t="str">
        <f>IF(Table1[[#This Row],[Customer Rating]]&gt;=3,"Good","Average")</f>
        <v>Good</v>
      </c>
    </row>
    <row r="76" spans="1:13" x14ac:dyDescent="0.25">
      <c r="A76" t="s">
        <v>123</v>
      </c>
      <c r="B76" s="4">
        <v>45672</v>
      </c>
      <c r="C76" s="4" t="str">
        <f>TEXT(Table1[[#This Row],[Order Date]],"mmm")</f>
        <v>Jan</v>
      </c>
      <c r="D76" s="4" t="str">
        <f>TEXT(Table1[[#This Row],[Order Date]],"yyyy")</f>
        <v>2025</v>
      </c>
      <c r="E76" t="s">
        <v>38</v>
      </c>
      <c r="F76" t="s">
        <v>29</v>
      </c>
      <c r="G76" t="s">
        <v>36</v>
      </c>
      <c r="H76" t="s">
        <v>14</v>
      </c>
      <c r="I76">
        <v>3</v>
      </c>
      <c r="J76" s="2">
        <v>16.989999999999998</v>
      </c>
      <c r="K76" s="2">
        <v>50.97</v>
      </c>
      <c r="L76">
        <v>4</v>
      </c>
      <c r="M76" t="str">
        <f>IF(Table1[[#This Row],[Customer Rating]]&gt;=3,"Good","Average")</f>
        <v>Good</v>
      </c>
    </row>
    <row r="77" spans="1:13" x14ac:dyDescent="0.25">
      <c r="A77" t="s">
        <v>124</v>
      </c>
      <c r="B77" s="4">
        <v>45821</v>
      </c>
      <c r="C77" s="4" t="str">
        <f>TEXT(Table1[[#This Row],[Order Date]],"mmm")</f>
        <v>Jun</v>
      </c>
      <c r="D77" s="4" t="str">
        <f>TEXT(Table1[[#This Row],[Order Date]],"yyyy")</f>
        <v>2025</v>
      </c>
      <c r="E77" t="s">
        <v>34</v>
      </c>
      <c r="F77" t="s">
        <v>29</v>
      </c>
      <c r="G77" t="s">
        <v>50</v>
      </c>
      <c r="H77" t="s">
        <v>14</v>
      </c>
      <c r="I77">
        <v>2</v>
      </c>
      <c r="J77" s="2">
        <v>22.99</v>
      </c>
      <c r="K77" s="2">
        <v>45.98</v>
      </c>
      <c r="L77">
        <v>3</v>
      </c>
      <c r="M77" t="str">
        <f>IF(Table1[[#This Row],[Customer Rating]]&gt;=3,"Good","Average")</f>
        <v>Good</v>
      </c>
    </row>
    <row r="78" spans="1:13" x14ac:dyDescent="0.25">
      <c r="A78" t="s">
        <v>125</v>
      </c>
      <c r="B78" s="4">
        <v>45541</v>
      </c>
      <c r="C78" s="4" t="str">
        <f>TEXT(Table1[[#This Row],[Order Date]],"mmm")</f>
        <v>Sep</v>
      </c>
      <c r="D78" s="4" t="str">
        <f>TEXT(Table1[[#This Row],[Order Date]],"yyyy")</f>
        <v>2024</v>
      </c>
      <c r="E78" t="s">
        <v>25</v>
      </c>
      <c r="F78" t="s">
        <v>17</v>
      </c>
      <c r="G78" t="s">
        <v>74</v>
      </c>
      <c r="H78" t="s">
        <v>14</v>
      </c>
      <c r="I78">
        <v>2</v>
      </c>
      <c r="J78" s="2">
        <v>14.99</v>
      </c>
      <c r="K78" s="2">
        <v>29.98</v>
      </c>
      <c r="L78">
        <v>4</v>
      </c>
      <c r="M78" t="str">
        <f>IF(Table1[[#This Row],[Customer Rating]]&gt;=3,"Good","Average")</f>
        <v>Good</v>
      </c>
    </row>
    <row r="79" spans="1:13" x14ac:dyDescent="0.25">
      <c r="A79" t="s">
        <v>126</v>
      </c>
      <c r="B79" s="4">
        <v>45550</v>
      </c>
      <c r="C79" s="4" t="str">
        <f>TEXT(Table1[[#This Row],[Order Date]],"mmm")</f>
        <v>Sep</v>
      </c>
      <c r="D79" s="4" t="str">
        <f>TEXT(Table1[[#This Row],[Order Date]],"yyyy")</f>
        <v>2024</v>
      </c>
      <c r="E79" t="s">
        <v>38</v>
      </c>
      <c r="F79" t="s">
        <v>17</v>
      </c>
      <c r="G79" t="s">
        <v>57</v>
      </c>
      <c r="H79" t="s">
        <v>14</v>
      </c>
      <c r="I79">
        <v>1</v>
      </c>
      <c r="J79" s="2">
        <v>15.99</v>
      </c>
      <c r="K79" s="2">
        <v>15.99</v>
      </c>
      <c r="L79">
        <v>4</v>
      </c>
      <c r="M79" t="str">
        <f>IF(Table1[[#This Row],[Customer Rating]]&gt;=3,"Good","Average")</f>
        <v>Good</v>
      </c>
    </row>
    <row r="80" spans="1:13" x14ac:dyDescent="0.25">
      <c r="A80" t="s">
        <v>127</v>
      </c>
      <c r="B80" s="4">
        <v>45942</v>
      </c>
      <c r="C80" s="4" t="str">
        <f>TEXT(Table1[[#This Row],[Order Date]],"mmm")</f>
        <v>Oct</v>
      </c>
      <c r="D80" s="4" t="str">
        <f>TEXT(Table1[[#This Row],[Order Date]],"yyyy")</f>
        <v>2025</v>
      </c>
      <c r="E80" t="s">
        <v>28</v>
      </c>
      <c r="F80" t="s">
        <v>29</v>
      </c>
      <c r="G80" t="s">
        <v>39</v>
      </c>
      <c r="H80" t="s">
        <v>14</v>
      </c>
      <c r="I80">
        <v>1</v>
      </c>
      <c r="J80" s="2">
        <v>24.99</v>
      </c>
      <c r="K80" s="2">
        <v>24.99</v>
      </c>
      <c r="L80">
        <v>3</v>
      </c>
      <c r="M80" t="str">
        <f>IF(Table1[[#This Row],[Customer Rating]]&gt;=3,"Good","Average")</f>
        <v>Good</v>
      </c>
    </row>
    <row r="81" spans="1:13" x14ac:dyDescent="0.25">
      <c r="A81" t="s">
        <v>128</v>
      </c>
      <c r="B81" s="4">
        <v>45655</v>
      </c>
      <c r="C81" s="4" t="str">
        <f>TEXT(Table1[[#This Row],[Order Date]],"mmm")</f>
        <v>Dec</v>
      </c>
      <c r="D81" s="4" t="str">
        <f>TEXT(Table1[[#This Row],[Order Date]],"yyyy")</f>
        <v>2024</v>
      </c>
      <c r="E81" t="s">
        <v>38</v>
      </c>
      <c r="F81" t="s">
        <v>12</v>
      </c>
      <c r="G81" t="s">
        <v>52</v>
      </c>
      <c r="H81" t="s">
        <v>19</v>
      </c>
      <c r="I81">
        <v>2</v>
      </c>
      <c r="J81" s="2">
        <v>6.99</v>
      </c>
      <c r="K81" s="2">
        <v>13.98</v>
      </c>
      <c r="L81">
        <v>5</v>
      </c>
      <c r="M81" t="str">
        <f>IF(Table1[[#This Row],[Customer Rating]]&gt;=3,"Good","Average")</f>
        <v>Good</v>
      </c>
    </row>
    <row r="82" spans="1:13" x14ac:dyDescent="0.25">
      <c r="A82" t="s">
        <v>129</v>
      </c>
      <c r="B82" s="4">
        <v>45851</v>
      </c>
      <c r="C82" s="4" t="str">
        <f>TEXT(Table1[[#This Row],[Order Date]],"mmm")</f>
        <v>Jul</v>
      </c>
      <c r="D82" s="4" t="str">
        <f>TEXT(Table1[[#This Row],[Order Date]],"yyyy")</f>
        <v>2025</v>
      </c>
      <c r="E82" t="s">
        <v>34</v>
      </c>
      <c r="F82" t="s">
        <v>12</v>
      </c>
      <c r="G82" t="s">
        <v>62</v>
      </c>
      <c r="H82" t="s">
        <v>23</v>
      </c>
      <c r="I82">
        <v>1</v>
      </c>
      <c r="J82" s="2">
        <v>9.99</v>
      </c>
      <c r="K82" s="2">
        <v>9.99</v>
      </c>
      <c r="L82">
        <v>3</v>
      </c>
      <c r="M82" t="str">
        <f>IF(Table1[[#This Row],[Customer Rating]]&gt;=3,"Good","Average")</f>
        <v>Good</v>
      </c>
    </row>
    <row r="83" spans="1:13" x14ac:dyDescent="0.25">
      <c r="A83" t="s">
        <v>130</v>
      </c>
      <c r="B83" s="4">
        <v>45557</v>
      </c>
      <c r="C83" s="4" t="str">
        <f>TEXT(Table1[[#This Row],[Order Date]],"mmm")</f>
        <v>Sep</v>
      </c>
      <c r="D83" s="4" t="str">
        <f>TEXT(Table1[[#This Row],[Order Date]],"yyyy")</f>
        <v>2024</v>
      </c>
      <c r="E83" t="s">
        <v>11</v>
      </c>
      <c r="F83" t="s">
        <v>29</v>
      </c>
      <c r="G83" t="s">
        <v>79</v>
      </c>
      <c r="H83" t="s">
        <v>67</v>
      </c>
      <c r="I83">
        <v>3</v>
      </c>
      <c r="J83" s="2">
        <v>10.99</v>
      </c>
      <c r="K83" s="2">
        <v>32.97</v>
      </c>
      <c r="L83">
        <v>4</v>
      </c>
      <c r="M83" t="str">
        <f>IF(Table1[[#This Row],[Customer Rating]]&gt;=3,"Good","Average")</f>
        <v>Good</v>
      </c>
    </row>
    <row r="84" spans="1:13" x14ac:dyDescent="0.25">
      <c r="A84" t="s">
        <v>131</v>
      </c>
      <c r="B84" s="4">
        <v>45563</v>
      </c>
      <c r="C84" s="4" t="str">
        <f>TEXT(Table1[[#This Row],[Order Date]],"mmm")</f>
        <v>Sep</v>
      </c>
      <c r="D84" s="4" t="str">
        <f>TEXT(Table1[[#This Row],[Order Date]],"yyyy")</f>
        <v>2024</v>
      </c>
      <c r="E84" t="s">
        <v>34</v>
      </c>
      <c r="F84" t="s">
        <v>17</v>
      </c>
      <c r="G84" t="s">
        <v>13</v>
      </c>
      <c r="H84" t="s">
        <v>14</v>
      </c>
      <c r="I84">
        <v>4</v>
      </c>
      <c r="J84" s="2">
        <v>18.989999999999998</v>
      </c>
      <c r="K84" s="2">
        <v>75.959999999999994</v>
      </c>
      <c r="L84">
        <v>4</v>
      </c>
      <c r="M84" t="str">
        <f>IF(Table1[[#This Row],[Customer Rating]]&gt;=3,"Good","Average")</f>
        <v>Good</v>
      </c>
    </row>
    <row r="85" spans="1:13" x14ac:dyDescent="0.25">
      <c r="A85" t="s">
        <v>132</v>
      </c>
      <c r="B85" s="4">
        <v>45989</v>
      </c>
      <c r="C85" s="4" t="str">
        <f>TEXT(Table1[[#This Row],[Order Date]],"mmm")</f>
        <v>Nov</v>
      </c>
      <c r="D85" s="4" t="str">
        <f>TEXT(Table1[[#This Row],[Order Date]],"yyyy")</f>
        <v>2025</v>
      </c>
      <c r="E85" t="s">
        <v>34</v>
      </c>
      <c r="F85" t="s">
        <v>12</v>
      </c>
      <c r="G85" t="s">
        <v>18</v>
      </c>
      <c r="H85" t="s">
        <v>19</v>
      </c>
      <c r="I85">
        <v>1</v>
      </c>
      <c r="J85" s="2">
        <v>9.99</v>
      </c>
      <c r="K85" s="2">
        <v>9.99</v>
      </c>
      <c r="L85">
        <v>3</v>
      </c>
      <c r="M85" t="str">
        <f>IF(Table1[[#This Row],[Customer Rating]]&gt;=3,"Good","Average")</f>
        <v>Good</v>
      </c>
    </row>
    <row r="86" spans="1:13" x14ac:dyDescent="0.25">
      <c r="A86" t="s">
        <v>133</v>
      </c>
      <c r="B86" s="4">
        <v>45309</v>
      </c>
      <c r="C86" s="4" t="str">
        <f>TEXT(Table1[[#This Row],[Order Date]],"mmm")</f>
        <v>Jan</v>
      </c>
      <c r="D86" s="4" t="str">
        <f>TEXT(Table1[[#This Row],[Order Date]],"yyyy")</f>
        <v>2024</v>
      </c>
      <c r="E86" t="s">
        <v>97</v>
      </c>
      <c r="F86" t="s">
        <v>29</v>
      </c>
      <c r="G86" t="s">
        <v>13</v>
      </c>
      <c r="H86" t="s">
        <v>14</v>
      </c>
      <c r="I86">
        <v>4</v>
      </c>
      <c r="J86" s="2">
        <v>18.989999999999998</v>
      </c>
      <c r="K86" s="2">
        <v>75.959999999999994</v>
      </c>
      <c r="L86">
        <v>4</v>
      </c>
      <c r="M86" t="str">
        <f>IF(Table1[[#This Row],[Customer Rating]]&gt;=3,"Good","Average")</f>
        <v>Good</v>
      </c>
    </row>
    <row r="87" spans="1:13" x14ac:dyDescent="0.25">
      <c r="A87" t="s">
        <v>134</v>
      </c>
      <c r="B87" s="4">
        <v>45489</v>
      </c>
      <c r="C87" s="4" t="str">
        <f>TEXT(Table1[[#This Row],[Order Date]],"mmm")</f>
        <v>Jul</v>
      </c>
      <c r="D87" s="4" t="str">
        <f>TEXT(Table1[[#This Row],[Order Date]],"yyyy")</f>
        <v>2024</v>
      </c>
      <c r="E87" t="s">
        <v>16</v>
      </c>
      <c r="F87" t="s">
        <v>12</v>
      </c>
      <c r="G87" t="s">
        <v>52</v>
      </c>
      <c r="H87" t="s">
        <v>19</v>
      </c>
      <c r="I87">
        <v>4</v>
      </c>
      <c r="J87" s="2">
        <v>6.99</v>
      </c>
      <c r="K87" s="2">
        <v>27.96</v>
      </c>
      <c r="L87">
        <v>5</v>
      </c>
      <c r="M87" t="str">
        <f>IF(Table1[[#This Row],[Customer Rating]]&gt;=3,"Good","Average")</f>
        <v>Good</v>
      </c>
    </row>
    <row r="88" spans="1:13" x14ac:dyDescent="0.25">
      <c r="A88" t="s">
        <v>135</v>
      </c>
      <c r="B88" s="4">
        <v>45600</v>
      </c>
      <c r="C88" s="4" t="str">
        <f>TEXT(Table1[[#This Row],[Order Date]],"mmm")</f>
        <v>Nov</v>
      </c>
      <c r="D88" s="4" t="str">
        <f>TEXT(Table1[[#This Row],[Order Date]],"yyyy")</f>
        <v>2024</v>
      </c>
      <c r="E88" t="s">
        <v>32</v>
      </c>
      <c r="F88" t="s">
        <v>29</v>
      </c>
      <c r="G88" t="s">
        <v>83</v>
      </c>
      <c r="H88" t="s">
        <v>14</v>
      </c>
      <c r="I88">
        <v>2</v>
      </c>
      <c r="J88" s="2">
        <v>17.989999999999998</v>
      </c>
      <c r="K88" s="2">
        <v>35.979999999999997</v>
      </c>
      <c r="L88">
        <v>4</v>
      </c>
      <c r="M88" t="str">
        <f>IF(Table1[[#This Row],[Customer Rating]]&gt;=3,"Good","Average")</f>
        <v>Good</v>
      </c>
    </row>
    <row r="89" spans="1:13" x14ac:dyDescent="0.25">
      <c r="A89" t="s">
        <v>136</v>
      </c>
      <c r="B89" s="4">
        <v>45780</v>
      </c>
      <c r="C89" s="4" t="str">
        <f>TEXT(Table1[[#This Row],[Order Date]],"mmm")</f>
        <v>May</v>
      </c>
      <c r="D89" s="4" t="str">
        <f>TEXT(Table1[[#This Row],[Order Date]],"yyyy")</f>
        <v>2025</v>
      </c>
      <c r="E89" t="s">
        <v>25</v>
      </c>
      <c r="F89" t="s">
        <v>12</v>
      </c>
      <c r="G89" t="s">
        <v>112</v>
      </c>
      <c r="H89" t="s">
        <v>19</v>
      </c>
      <c r="I89">
        <v>2</v>
      </c>
      <c r="J89" s="2">
        <v>5.99</v>
      </c>
      <c r="K89" s="2">
        <v>11.98</v>
      </c>
      <c r="L89">
        <v>5</v>
      </c>
      <c r="M89" t="str">
        <f>IF(Table1[[#This Row],[Customer Rating]]&gt;=3,"Good","Average")</f>
        <v>Good</v>
      </c>
    </row>
    <row r="90" spans="1:13" x14ac:dyDescent="0.25">
      <c r="A90" t="s">
        <v>137</v>
      </c>
      <c r="B90" s="4">
        <v>45979</v>
      </c>
      <c r="C90" s="4" t="str">
        <f>TEXT(Table1[[#This Row],[Order Date]],"mmm")</f>
        <v>Nov</v>
      </c>
      <c r="D90" s="4" t="str">
        <f>TEXT(Table1[[#This Row],[Order Date]],"yyyy")</f>
        <v>2025</v>
      </c>
      <c r="E90" t="s">
        <v>11</v>
      </c>
      <c r="F90" t="s">
        <v>17</v>
      </c>
      <c r="G90" t="s">
        <v>55</v>
      </c>
      <c r="H90" t="s">
        <v>23</v>
      </c>
      <c r="I90">
        <v>1</v>
      </c>
      <c r="J90" s="2">
        <v>10.99</v>
      </c>
      <c r="K90" s="2">
        <v>10.99</v>
      </c>
      <c r="L90">
        <v>4</v>
      </c>
      <c r="M90" t="str">
        <f>IF(Table1[[#This Row],[Customer Rating]]&gt;=3,"Good","Average")</f>
        <v>Good</v>
      </c>
    </row>
    <row r="91" spans="1:13" x14ac:dyDescent="0.25">
      <c r="A91" t="s">
        <v>138</v>
      </c>
      <c r="B91" s="4">
        <v>45926</v>
      </c>
      <c r="C91" s="4" t="str">
        <f>TEXT(Table1[[#This Row],[Order Date]],"mmm")</f>
        <v>Sep</v>
      </c>
      <c r="D91" s="4" t="str">
        <f>TEXT(Table1[[#This Row],[Order Date]],"yyyy")</f>
        <v>2025</v>
      </c>
      <c r="E91" t="s">
        <v>32</v>
      </c>
      <c r="F91" t="s">
        <v>29</v>
      </c>
      <c r="G91" t="s">
        <v>30</v>
      </c>
      <c r="H91" t="s">
        <v>19</v>
      </c>
      <c r="I91">
        <v>2</v>
      </c>
      <c r="J91" s="2">
        <v>7.99</v>
      </c>
      <c r="K91" s="2">
        <v>15.98</v>
      </c>
      <c r="L91">
        <v>4</v>
      </c>
      <c r="M91" t="str">
        <f>IF(Table1[[#This Row],[Customer Rating]]&gt;=3,"Good","Average")</f>
        <v>Good</v>
      </c>
    </row>
    <row r="92" spans="1:13" x14ac:dyDescent="0.25">
      <c r="A92" t="s">
        <v>139</v>
      </c>
      <c r="B92" s="4">
        <v>45830</v>
      </c>
      <c r="C92" s="4" t="str">
        <f>TEXT(Table1[[#This Row],[Order Date]],"mmm")</f>
        <v>Jun</v>
      </c>
      <c r="D92" s="4" t="str">
        <f>TEXT(Table1[[#This Row],[Order Date]],"yyyy")</f>
        <v>2025</v>
      </c>
      <c r="E92" t="s">
        <v>28</v>
      </c>
      <c r="F92" t="s">
        <v>29</v>
      </c>
      <c r="G92" t="s">
        <v>13</v>
      </c>
      <c r="H92" t="s">
        <v>14</v>
      </c>
      <c r="I92">
        <v>1</v>
      </c>
      <c r="J92" s="2">
        <v>18.989999999999998</v>
      </c>
      <c r="K92" s="2">
        <v>18.989999999999998</v>
      </c>
      <c r="L92">
        <v>4</v>
      </c>
      <c r="M92" t="str">
        <f>IF(Table1[[#This Row],[Customer Rating]]&gt;=3,"Good","Average")</f>
        <v>Good</v>
      </c>
    </row>
    <row r="93" spans="1:13" x14ac:dyDescent="0.25">
      <c r="A93" t="s">
        <v>140</v>
      </c>
      <c r="B93" s="4">
        <v>45596</v>
      </c>
      <c r="C93" s="4" t="str">
        <f>TEXT(Table1[[#This Row],[Order Date]],"mmm")</f>
        <v>Oct</v>
      </c>
      <c r="D93" s="4" t="str">
        <f>TEXT(Table1[[#This Row],[Order Date]],"yyyy")</f>
        <v>2024</v>
      </c>
      <c r="E93" t="s">
        <v>28</v>
      </c>
      <c r="F93" t="s">
        <v>12</v>
      </c>
      <c r="G93" t="s">
        <v>18</v>
      </c>
      <c r="H93" t="s">
        <v>19</v>
      </c>
      <c r="I93">
        <v>4</v>
      </c>
      <c r="J93" s="2">
        <v>9.99</v>
      </c>
      <c r="K93" s="2">
        <v>39.96</v>
      </c>
      <c r="L93">
        <v>4</v>
      </c>
      <c r="M93" t="str">
        <f>IF(Table1[[#This Row],[Customer Rating]]&gt;=3,"Good","Average")</f>
        <v>Good</v>
      </c>
    </row>
    <row r="94" spans="1:13" x14ac:dyDescent="0.25">
      <c r="A94" t="s">
        <v>141</v>
      </c>
      <c r="B94" s="4">
        <v>45943</v>
      </c>
      <c r="C94" s="4" t="str">
        <f>TEXT(Table1[[#This Row],[Order Date]],"mmm")</f>
        <v>Oct</v>
      </c>
      <c r="D94" s="4" t="str">
        <f>TEXT(Table1[[#This Row],[Order Date]],"yyyy")</f>
        <v>2025</v>
      </c>
      <c r="E94" t="s">
        <v>25</v>
      </c>
      <c r="F94" t="s">
        <v>12</v>
      </c>
      <c r="G94" t="s">
        <v>142</v>
      </c>
      <c r="H94" t="s">
        <v>23</v>
      </c>
      <c r="I94">
        <v>2</v>
      </c>
      <c r="J94" s="2">
        <v>14.99</v>
      </c>
      <c r="K94" s="2">
        <v>29.98</v>
      </c>
      <c r="L94">
        <v>4</v>
      </c>
      <c r="M94" t="str">
        <f>IF(Table1[[#This Row],[Customer Rating]]&gt;=3,"Good","Average")</f>
        <v>Good</v>
      </c>
    </row>
    <row r="95" spans="1:13" x14ac:dyDescent="0.25">
      <c r="A95" t="s">
        <v>143</v>
      </c>
      <c r="B95" s="4">
        <v>45848</v>
      </c>
      <c r="C95" s="4" t="str">
        <f>TEXT(Table1[[#This Row],[Order Date]],"mmm")</f>
        <v>Jul</v>
      </c>
      <c r="D95" s="4" t="str">
        <f>TEXT(Table1[[#This Row],[Order Date]],"yyyy")</f>
        <v>2025</v>
      </c>
      <c r="E95" t="s">
        <v>34</v>
      </c>
      <c r="F95" t="s">
        <v>12</v>
      </c>
      <c r="G95" t="s">
        <v>57</v>
      </c>
      <c r="H95" t="s">
        <v>14</v>
      </c>
      <c r="I95">
        <v>2</v>
      </c>
      <c r="J95" s="2">
        <v>15.99</v>
      </c>
      <c r="K95" s="2">
        <v>31.98</v>
      </c>
      <c r="L95">
        <v>5</v>
      </c>
      <c r="M95" t="str">
        <f>IF(Table1[[#This Row],[Customer Rating]]&gt;=3,"Good","Average")</f>
        <v>Good</v>
      </c>
    </row>
    <row r="96" spans="1:13" x14ac:dyDescent="0.25">
      <c r="A96" t="s">
        <v>144</v>
      </c>
      <c r="B96" s="4">
        <v>45696</v>
      </c>
      <c r="C96" s="4" t="str">
        <f>TEXT(Table1[[#This Row],[Order Date]],"mmm")</f>
        <v>Feb</v>
      </c>
      <c r="D96" s="4" t="str">
        <f>TEXT(Table1[[#This Row],[Order Date]],"yyyy")</f>
        <v>2025</v>
      </c>
      <c r="E96" t="s">
        <v>28</v>
      </c>
      <c r="F96" t="s">
        <v>12</v>
      </c>
      <c r="G96" t="s">
        <v>52</v>
      </c>
      <c r="H96" t="s">
        <v>19</v>
      </c>
      <c r="I96">
        <v>1</v>
      </c>
      <c r="J96" s="2">
        <v>6.99</v>
      </c>
      <c r="K96" s="2">
        <v>6.99</v>
      </c>
      <c r="L96">
        <v>5</v>
      </c>
      <c r="M96" t="str">
        <f>IF(Table1[[#This Row],[Customer Rating]]&gt;=3,"Good","Average")</f>
        <v>Good</v>
      </c>
    </row>
    <row r="97" spans="1:13" x14ac:dyDescent="0.25">
      <c r="A97" t="s">
        <v>145</v>
      </c>
      <c r="B97" s="4">
        <v>45762</v>
      </c>
      <c r="C97" s="4" t="str">
        <f>TEXT(Table1[[#This Row],[Order Date]],"mmm")</f>
        <v>Apr</v>
      </c>
      <c r="D97" s="4" t="str">
        <f>TEXT(Table1[[#This Row],[Order Date]],"yyyy")</f>
        <v>2025</v>
      </c>
      <c r="E97" t="s">
        <v>32</v>
      </c>
      <c r="F97" t="s">
        <v>17</v>
      </c>
      <c r="G97" t="s">
        <v>36</v>
      </c>
      <c r="H97" t="s">
        <v>14</v>
      </c>
      <c r="I97">
        <v>2</v>
      </c>
      <c r="J97" s="2">
        <v>16.989999999999998</v>
      </c>
      <c r="K97" s="2">
        <v>33.979999999999997</v>
      </c>
      <c r="L97">
        <v>3</v>
      </c>
      <c r="M97" t="str">
        <f>IF(Table1[[#This Row],[Customer Rating]]&gt;=3,"Good","Average")</f>
        <v>Good</v>
      </c>
    </row>
    <row r="98" spans="1:13" x14ac:dyDescent="0.25">
      <c r="A98" t="s">
        <v>146</v>
      </c>
      <c r="B98" s="4">
        <v>45971</v>
      </c>
      <c r="C98" s="4" t="str">
        <f>TEXT(Table1[[#This Row],[Order Date]],"mmm")</f>
        <v>Nov</v>
      </c>
      <c r="D98" s="4" t="str">
        <f>TEXT(Table1[[#This Row],[Order Date]],"yyyy")</f>
        <v>2025</v>
      </c>
      <c r="E98" t="s">
        <v>11</v>
      </c>
      <c r="F98" t="s">
        <v>17</v>
      </c>
      <c r="G98" t="s">
        <v>79</v>
      </c>
      <c r="H98" t="s">
        <v>67</v>
      </c>
      <c r="I98">
        <v>1</v>
      </c>
      <c r="J98" s="2">
        <v>10.99</v>
      </c>
      <c r="K98" s="2">
        <v>10.99</v>
      </c>
      <c r="L98">
        <v>1</v>
      </c>
      <c r="M98" t="str">
        <f>IF(Table1[[#This Row],[Customer Rating]]&gt;=3,"Good","Average")</f>
        <v>Average</v>
      </c>
    </row>
    <row r="99" spans="1:13" x14ac:dyDescent="0.25">
      <c r="A99" t="s">
        <v>147</v>
      </c>
      <c r="B99" s="4">
        <v>45682</v>
      </c>
      <c r="C99" s="4" t="str">
        <f>TEXT(Table1[[#This Row],[Order Date]],"mmm")</f>
        <v>Jan</v>
      </c>
      <c r="D99" s="4" t="str">
        <f>TEXT(Table1[[#This Row],[Order Date]],"yyyy")</f>
        <v>2025</v>
      </c>
      <c r="E99" t="s">
        <v>16</v>
      </c>
      <c r="F99" t="s">
        <v>29</v>
      </c>
      <c r="G99" t="s">
        <v>66</v>
      </c>
      <c r="H99" t="s">
        <v>67</v>
      </c>
      <c r="I99">
        <v>2</v>
      </c>
      <c r="J99" s="2">
        <v>7.99</v>
      </c>
      <c r="K99" s="2">
        <v>15.98</v>
      </c>
      <c r="L99">
        <v>3</v>
      </c>
      <c r="M99" t="str">
        <f>IF(Table1[[#This Row],[Customer Rating]]&gt;=3,"Good","Average")</f>
        <v>Good</v>
      </c>
    </row>
    <row r="100" spans="1:13" x14ac:dyDescent="0.25">
      <c r="A100" t="s">
        <v>148</v>
      </c>
      <c r="B100" s="4">
        <v>45373</v>
      </c>
      <c r="C100" s="4" t="str">
        <f>TEXT(Table1[[#This Row],[Order Date]],"mmm")</f>
        <v>Mar</v>
      </c>
      <c r="D100" s="4" t="str">
        <f>TEXT(Table1[[#This Row],[Order Date]],"yyyy")</f>
        <v>2024</v>
      </c>
      <c r="E100" t="s">
        <v>11</v>
      </c>
      <c r="F100" t="s">
        <v>12</v>
      </c>
      <c r="G100" t="s">
        <v>41</v>
      </c>
      <c r="H100" t="s">
        <v>23</v>
      </c>
      <c r="I100">
        <v>1</v>
      </c>
      <c r="J100" s="2">
        <v>12.99</v>
      </c>
      <c r="K100" s="2">
        <v>12.99</v>
      </c>
      <c r="L100">
        <v>4</v>
      </c>
      <c r="M100" t="str">
        <f>IF(Table1[[#This Row],[Customer Rating]]&gt;=3,"Good","Average")</f>
        <v>Good</v>
      </c>
    </row>
    <row r="101" spans="1:13" x14ac:dyDescent="0.25">
      <c r="A101" t="s">
        <v>149</v>
      </c>
      <c r="B101" s="4">
        <v>45433</v>
      </c>
      <c r="C101" s="4" t="str">
        <f>TEXT(Table1[[#This Row],[Order Date]],"mmm")</f>
        <v>May</v>
      </c>
      <c r="D101" s="4" t="str">
        <f>TEXT(Table1[[#This Row],[Order Date]],"yyyy")</f>
        <v>2024</v>
      </c>
      <c r="E101" t="s">
        <v>11</v>
      </c>
      <c r="F101" t="s">
        <v>17</v>
      </c>
      <c r="G101" t="s">
        <v>69</v>
      </c>
      <c r="H101" t="s">
        <v>67</v>
      </c>
      <c r="I101">
        <v>1</v>
      </c>
      <c r="J101" s="2">
        <v>8.99</v>
      </c>
      <c r="K101" s="2">
        <v>8.99</v>
      </c>
      <c r="L101">
        <v>2</v>
      </c>
      <c r="M101" t="str">
        <f>IF(Table1[[#This Row],[Customer Rating]]&gt;=3,"Good","Average")</f>
        <v>Average</v>
      </c>
    </row>
    <row r="102" spans="1:13" x14ac:dyDescent="0.25">
      <c r="A102" t="s">
        <v>150</v>
      </c>
      <c r="B102" s="4">
        <v>45438</v>
      </c>
      <c r="C102" s="4" t="str">
        <f>TEXT(Table1[[#This Row],[Order Date]],"mmm")</f>
        <v>May</v>
      </c>
      <c r="D102" s="4" t="str">
        <f>TEXT(Table1[[#This Row],[Order Date]],"yyyy")</f>
        <v>2024</v>
      </c>
      <c r="E102" t="s">
        <v>25</v>
      </c>
      <c r="F102" t="s">
        <v>12</v>
      </c>
      <c r="G102" t="s">
        <v>50</v>
      </c>
      <c r="H102" t="s">
        <v>14</v>
      </c>
      <c r="I102">
        <v>3</v>
      </c>
      <c r="J102" s="2">
        <v>22.99</v>
      </c>
      <c r="K102" s="2">
        <v>68.97</v>
      </c>
      <c r="L102">
        <v>4</v>
      </c>
      <c r="M102" t="str">
        <f>IF(Table1[[#This Row],[Customer Rating]]&gt;=3,"Good","Average")</f>
        <v>Good</v>
      </c>
    </row>
    <row r="103" spans="1:13" x14ac:dyDescent="0.25">
      <c r="A103" t="s">
        <v>151</v>
      </c>
      <c r="B103" s="4">
        <v>45942</v>
      </c>
      <c r="C103" s="4" t="str">
        <f>TEXT(Table1[[#This Row],[Order Date]],"mmm")</f>
        <v>Oct</v>
      </c>
      <c r="D103" s="4" t="str">
        <f>TEXT(Table1[[#This Row],[Order Date]],"yyyy")</f>
        <v>2025</v>
      </c>
      <c r="E103" t="s">
        <v>97</v>
      </c>
      <c r="F103" t="s">
        <v>17</v>
      </c>
      <c r="G103" t="s">
        <v>39</v>
      </c>
      <c r="H103" t="s">
        <v>14</v>
      </c>
      <c r="I103">
        <v>1</v>
      </c>
      <c r="J103" s="2">
        <v>24.99</v>
      </c>
      <c r="K103" s="2">
        <v>24.99</v>
      </c>
      <c r="L103">
        <v>5</v>
      </c>
      <c r="M103" t="str">
        <f>IF(Table1[[#This Row],[Customer Rating]]&gt;=3,"Good","Average")</f>
        <v>Good</v>
      </c>
    </row>
    <row r="104" spans="1:13" x14ac:dyDescent="0.25">
      <c r="A104" t="s">
        <v>152</v>
      </c>
      <c r="B104" s="4">
        <v>45469</v>
      </c>
      <c r="C104" s="4" t="str">
        <f>TEXT(Table1[[#This Row],[Order Date]],"mmm")</f>
        <v>Jun</v>
      </c>
      <c r="D104" s="4" t="str">
        <f>TEXT(Table1[[#This Row],[Order Date]],"yyyy")</f>
        <v>2024</v>
      </c>
      <c r="E104" t="s">
        <v>21</v>
      </c>
      <c r="F104" t="s">
        <v>12</v>
      </c>
      <c r="G104" t="s">
        <v>83</v>
      </c>
      <c r="H104" t="s">
        <v>14</v>
      </c>
      <c r="I104">
        <v>1</v>
      </c>
      <c r="J104" s="2">
        <v>17.989999999999998</v>
      </c>
      <c r="K104" s="2">
        <v>17.989999999999998</v>
      </c>
      <c r="L104">
        <v>5</v>
      </c>
      <c r="M104" t="str">
        <f>IF(Table1[[#This Row],[Customer Rating]]&gt;=3,"Good","Average")</f>
        <v>Good</v>
      </c>
    </row>
    <row r="105" spans="1:13" x14ac:dyDescent="0.25">
      <c r="A105" t="s">
        <v>153</v>
      </c>
      <c r="B105" s="4">
        <v>45791</v>
      </c>
      <c r="C105" s="4" t="str">
        <f>TEXT(Table1[[#This Row],[Order Date]],"mmm")</f>
        <v>May</v>
      </c>
      <c r="D105" s="4" t="str">
        <f>TEXT(Table1[[#This Row],[Order Date]],"yyyy")</f>
        <v>2025</v>
      </c>
      <c r="E105" t="s">
        <v>38</v>
      </c>
      <c r="F105" t="s">
        <v>17</v>
      </c>
      <c r="G105" t="s">
        <v>52</v>
      </c>
      <c r="H105" t="s">
        <v>19</v>
      </c>
      <c r="I105">
        <v>1</v>
      </c>
      <c r="J105" s="2">
        <v>6.99</v>
      </c>
      <c r="K105" s="2">
        <v>6.99</v>
      </c>
      <c r="L105">
        <v>5</v>
      </c>
      <c r="M105" t="str">
        <f>IF(Table1[[#This Row],[Customer Rating]]&gt;=3,"Good","Average")</f>
        <v>Good</v>
      </c>
    </row>
    <row r="106" spans="1:13" x14ac:dyDescent="0.25">
      <c r="A106" t="s">
        <v>154</v>
      </c>
      <c r="B106" s="4">
        <v>45744</v>
      </c>
      <c r="C106" s="4" t="str">
        <f>TEXT(Table1[[#This Row],[Order Date]],"mmm")</f>
        <v>Mar</v>
      </c>
      <c r="D106" s="4" t="str">
        <f>TEXT(Table1[[#This Row],[Order Date]],"yyyy")</f>
        <v>2025</v>
      </c>
      <c r="E106" t="s">
        <v>28</v>
      </c>
      <c r="F106" t="s">
        <v>12</v>
      </c>
      <c r="G106" t="s">
        <v>30</v>
      </c>
      <c r="H106" t="s">
        <v>19</v>
      </c>
      <c r="I106">
        <v>2</v>
      </c>
      <c r="J106" s="2">
        <v>7.99</v>
      </c>
      <c r="K106" s="2">
        <v>15.98</v>
      </c>
      <c r="L106">
        <v>3</v>
      </c>
      <c r="M106" t="str">
        <f>IF(Table1[[#This Row],[Customer Rating]]&gt;=3,"Good","Average")</f>
        <v>Good</v>
      </c>
    </row>
    <row r="107" spans="1:13" x14ac:dyDescent="0.25">
      <c r="A107" t="s">
        <v>155</v>
      </c>
      <c r="B107" s="4">
        <v>45872</v>
      </c>
      <c r="C107" s="4" t="str">
        <f>TEXT(Table1[[#This Row],[Order Date]],"mmm")</f>
        <v>Aug</v>
      </c>
      <c r="D107" s="4" t="str">
        <f>TEXT(Table1[[#This Row],[Order Date]],"yyyy")</f>
        <v>2025</v>
      </c>
      <c r="E107" t="s">
        <v>28</v>
      </c>
      <c r="F107" t="s">
        <v>17</v>
      </c>
      <c r="G107" t="s">
        <v>62</v>
      </c>
      <c r="H107" t="s">
        <v>23</v>
      </c>
      <c r="I107">
        <v>1</v>
      </c>
      <c r="J107" s="2">
        <v>9.99</v>
      </c>
      <c r="K107" s="2">
        <v>9.99</v>
      </c>
      <c r="L107">
        <v>5</v>
      </c>
      <c r="M107" t="str">
        <f>IF(Table1[[#This Row],[Customer Rating]]&gt;=3,"Good","Average")</f>
        <v>Good</v>
      </c>
    </row>
    <row r="108" spans="1:13" x14ac:dyDescent="0.25">
      <c r="A108" t="s">
        <v>156</v>
      </c>
      <c r="B108" s="4">
        <v>45598</v>
      </c>
      <c r="C108" s="4" t="str">
        <f>TEXT(Table1[[#This Row],[Order Date]],"mmm")</f>
        <v>Nov</v>
      </c>
      <c r="D108" s="4" t="str">
        <f>TEXT(Table1[[#This Row],[Order Date]],"yyyy")</f>
        <v>2024</v>
      </c>
      <c r="E108" t="s">
        <v>32</v>
      </c>
      <c r="F108" t="s">
        <v>29</v>
      </c>
      <c r="G108" t="s">
        <v>66</v>
      </c>
      <c r="H108" t="s">
        <v>67</v>
      </c>
      <c r="I108">
        <v>2</v>
      </c>
      <c r="J108" s="2">
        <v>7.99</v>
      </c>
      <c r="K108" s="2">
        <v>15.98</v>
      </c>
      <c r="L108">
        <v>5</v>
      </c>
      <c r="M108" t="str">
        <f>IF(Table1[[#This Row],[Customer Rating]]&gt;=3,"Good","Average")</f>
        <v>Good</v>
      </c>
    </row>
    <row r="109" spans="1:13" x14ac:dyDescent="0.25">
      <c r="A109" t="s">
        <v>157</v>
      </c>
      <c r="B109" s="4">
        <v>45486</v>
      </c>
      <c r="C109" s="4" t="str">
        <f>TEXT(Table1[[#This Row],[Order Date]],"mmm")</f>
        <v>Jul</v>
      </c>
      <c r="D109" s="4" t="str">
        <f>TEXT(Table1[[#This Row],[Order Date]],"yyyy")</f>
        <v>2024</v>
      </c>
      <c r="E109" t="s">
        <v>25</v>
      </c>
      <c r="F109" t="s">
        <v>12</v>
      </c>
      <c r="G109" t="s">
        <v>30</v>
      </c>
      <c r="H109" t="s">
        <v>19</v>
      </c>
      <c r="I109">
        <v>1</v>
      </c>
      <c r="J109" s="2">
        <v>7.99</v>
      </c>
      <c r="K109" s="2">
        <v>7.99</v>
      </c>
      <c r="L109">
        <v>3</v>
      </c>
      <c r="M109" t="str">
        <f>IF(Table1[[#This Row],[Customer Rating]]&gt;=3,"Good","Average")</f>
        <v>Good</v>
      </c>
    </row>
    <row r="110" spans="1:13" x14ac:dyDescent="0.25">
      <c r="A110" t="s">
        <v>158</v>
      </c>
      <c r="B110" s="4">
        <v>45529</v>
      </c>
      <c r="C110" s="4" t="str">
        <f>TEXT(Table1[[#This Row],[Order Date]],"mmm")</f>
        <v>Aug</v>
      </c>
      <c r="D110" s="4" t="str">
        <f>TEXT(Table1[[#This Row],[Order Date]],"yyyy")</f>
        <v>2024</v>
      </c>
      <c r="E110" t="s">
        <v>45</v>
      </c>
      <c r="F110" t="s">
        <v>12</v>
      </c>
      <c r="G110" t="s">
        <v>46</v>
      </c>
      <c r="H110" t="s">
        <v>14</v>
      </c>
      <c r="I110">
        <v>2</v>
      </c>
      <c r="J110" s="2">
        <v>32.99</v>
      </c>
      <c r="K110" s="2">
        <v>65.98</v>
      </c>
      <c r="L110">
        <v>4</v>
      </c>
      <c r="M110" t="str">
        <f>IF(Table1[[#This Row],[Customer Rating]]&gt;=3,"Good","Average")</f>
        <v>Good</v>
      </c>
    </row>
    <row r="111" spans="1:13" x14ac:dyDescent="0.25">
      <c r="A111" t="s">
        <v>159</v>
      </c>
      <c r="B111" s="4">
        <v>45376</v>
      </c>
      <c r="C111" s="4" t="str">
        <f>TEXT(Table1[[#This Row],[Order Date]],"mmm")</f>
        <v>Mar</v>
      </c>
      <c r="D111" s="4" t="str">
        <f>TEXT(Table1[[#This Row],[Order Date]],"yyyy")</f>
        <v>2024</v>
      </c>
      <c r="E111" t="s">
        <v>28</v>
      </c>
      <c r="F111" t="s">
        <v>29</v>
      </c>
      <c r="G111" t="s">
        <v>74</v>
      </c>
      <c r="H111" t="s">
        <v>14</v>
      </c>
      <c r="I111">
        <v>1</v>
      </c>
      <c r="J111" s="2">
        <v>14.99</v>
      </c>
      <c r="K111" s="2">
        <v>14.99</v>
      </c>
      <c r="L111">
        <v>4</v>
      </c>
      <c r="M111" t="str">
        <f>IF(Table1[[#This Row],[Customer Rating]]&gt;=3,"Good","Average")</f>
        <v>Good</v>
      </c>
    </row>
    <row r="112" spans="1:13" x14ac:dyDescent="0.25">
      <c r="A112" t="s">
        <v>160</v>
      </c>
      <c r="B112" s="4">
        <v>45829</v>
      </c>
      <c r="C112" s="4" t="str">
        <f>TEXT(Table1[[#This Row],[Order Date]],"mmm")</f>
        <v>Jun</v>
      </c>
      <c r="D112" s="4" t="str">
        <f>TEXT(Table1[[#This Row],[Order Date]],"yyyy")</f>
        <v>2025</v>
      </c>
      <c r="E112" t="s">
        <v>28</v>
      </c>
      <c r="F112" t="s">
        <v>12</v>
      </c>
      <c r="G112" t="s">
        <v>36</v>
      </c>
      <c r="H112" t="s">
        <v>14</v>
      </c>
      <c r="I112">
        <v>1</v>
      </c>
      <c r="J112" s="2">
        <v>16.989999999999998</v>
      </c>
      <c r="K112" s="2">
        <v>16.989999999999998</v>
      </c>
      <c r="L112">
        <v>3</v>
      </c>
      <c r="M112" t="str">
        <f>IF(Table1[[#This Row],[Customer Rating]]&gt;=3,"Good","Average")</f>
        <v>Good</v>
      </c>
    </row>
    <row r="113" spans="1:13" x14ac:dyDescent="0.25">
      <c r="A113" t="s">
        <v>161</v>
      </c>
      <c r="B113" s="4">
        <v>45440</v>
      </c>
      <c r="C113" s="4" t="str">
        <f>TEXT(Table1[[#This Row],[Order Date]],"mmm")</f>
        <v>May</v>
      </c>
      <c r="D113" s="4" t="str">
        <f>TEXT(Table1[[#This Row],[Order Date]],"yyyy")</f>
        <v>2024</v>
      </c>
      <c r="E113" t="s">
        <v>45</v>
      </c>
      <c r="F113" t="s">
        <v>29</v>
      </c>
      <c r="G113" t="s">
        <v>43</v>
      </c>
      <c r="H113" t="s">
        <v>23</v>
      </c>
      <c r="I113">
        <v>4</v>
      </c>
      <c r="J113" s="2">
        <v>11.99</v>
      </c>
      <c r="K113" s="2">
        <v>47.96</v>
      </c>
      <c r="L113">
        <v>4</v>
      </c>
      <c r="M113" t="str">
        <f>IF(Table1[[#This Row],[Customer Rating]]&gt;=3,"Good","Average")</f>
        <v>Good</v>
      </c>
    </row>
    <row r="114" spans="1:13" x14ac:dyDescent="0.25">
      <c r="A114" t="s">
        <v>162</v>
      </c>
      <c r="B114" s="4">
        <v>45367</v>
      </c>
      <c r="C114" s="4" t="str">
        <f>TEXT(Table1[[#This Row],[Order Date]],"mmm")</f>
        <v>Mar</v>
      </c>
      <c r="D114" s="4" t="str">
        <f>TEXT(Table1[[#This Row],[Order Date]],"yyyy")</f>
        <v>2024</v>
      </c>
      <c r="E114" t="s">
        <v>32</v>
      </c>
      <c r="F114" t="s">
        <v>12</v>
      </c>
      <c r="G114" t="s">
        <v>62</v>
      </c>
      <c r="H114" t="s">
        <v>23</v>
      </c>
      <c r="I114">
        <v>1</v>
      </c>
      <c r="J114" s="2">
        <v>9.99</v>
      </c>
      <c r="K114" s="2">
        <v>9.99</v>
      </c>
      <c r="L114">
        <v>4</v>
      </c>
      <c r="M114" t="str">
        <f>IF(Table1[[#This Row],[Customer Rating]]&gt;=3,"Good","Average")</f>
        <v>Good</v>
      </c>
    </row>
    <row r="115" spans="1:13" x14ac:dyDescent="0.25">
      <c r="A115" t="s">
        <v>163</v>
      </c>
      <c r="B115" s="4">
        <v>45467</v>
      </c>
      <c r="C115" s="4" t="str">
        <f>TEXT(Table1[[#This Row],[Order Date]],"mmm")</f>
        <v>Jun</v>
      </c>
      <c r="D115" s="4" t="str">
        <f>TEXT(Table1[[#This Row],[Order Date]],"yyyy")</f>
        <v>2024</v>
      </c>
      <c r="E115" t="s">
        <v>21</v>
      </c>
      <c r="F115" t="s">
        <v>29</v>
      </c>
      <c r="G115" t="s">
        <v>66</v>
      </c>
      <c r="H115" t="s">
        <v>67</v>
      </c>
      <c r="I115">
        <v>1</v>
      </c>
      <c r="J115" s="2">
        <v>7.99</v>
      </c>
      <c r="K115" s="2">
        <v>7.99</v>
      </c>
      <c r="L115">
        <v>4</v>
      </c>
      <c r="M115" t="str">
        <f>IF(Table1[[#This Row],[Customer Rating]]&gt;=3,"Good","Average")</f>
        <v>Good</v>
      </c>
    </row>
    <row r="116" spans="1:13" x14ac:dyDescent="0.25">
      <c r="A116" t="s">
        <v>164</v>
      </c>
      <c r="B116" s="4">
        <v>45715</v>
      </c>
      <c r="C116" s="4" t="str">
        <f>TEXT(Table1[[#This Row],[Order Date]],"mmm")</f>
        <v>Feb</v>
      </c>
      <c r="D116" s="4" t="str">
        <f>TEXT(Table1[[#This Row],[Order Date]],"yyyy")</f>
        <v>2025</v>
      </c>
      <c r="E116" t="s">
        <v>28</v>
      </c>
      <c r="F116" t="s">
        <v>29</v>
      </c>
      <c r="G116" t="s">
        <v>13</v>
      </c>
      <c r="H116" t="s">
        <v>14</v>
      </c>
      <c r="I116">
        <v>2</v>
      </c>
      <c r="J116" s="2">
        <v>18.989999999999998</v>
      </c>
      <c r="K116" s="2">
        <v>37.979999999999997</v>
      </c>
      <c r="L116">
        <v>2</v>
      </c>
      <c r="M116" t="str">
        <f>IF(Table1[[#This Row],[Customer Rating]]&gt;=3,"Good","Average")</f>
        <v>Average</v>
      </c>
    </row>
    <row r="117" spans="1:13" x14ac:dyDescent="0.25">
      <c r="A117" t="s">
        <v>165</v>
      </c>
      <c r="B117" s="4">
        <v>45500</v>
      </c>
      <c r="C117" s="4" t="str">
        <f>TEXT(Table1[[#This Row],[Order Date]],"mmm")</f>
        <v>Jul</v>
      </c>
      <c r="D117" s="4" t="str">
        <f>TEXT(Table1[[#This Row],[Order Date]],"yyyy")</f>
        <v>2024</v>
      </c>
      <c r="E117" t="s">
        <v>38</v>
      </c>
      <c r="F117" t="s">
        <v>29</v>
      </c>
      <c r="G117" t="s">
        <v>26</v>
      </c>
      <c r="H117" t="s">
        <v>19</v>
      </c>
      <c r="I117">
        <v>1</v>
      </c>
      <c r="J117" s="2">
        <v>3.49</v>
      </c>
      <c r="K117" s="2">
        <v>3.49</v>
      </c>
      <c r="L117">
        <v>5</v>
      </c>
      <c r="M117" t="str">
        <f>IF(Table1[[#This Row],[Customer Rating]]&gt;=3,"Good","Average")</f>
        <v>Good</v>
      </c>
    </row>
    <row r="118" spans="1:13" x14ac:dyDescent="0.25">
      <c r="A118" t="s">
        <v>166</v>
      </c>
      <c r="B118" s="4">
        <v>45418</v>
      </c>
      <c r="C118" s="4" t="str">
        <f>TEXT(Table1[[#This Row],[Order Date]],"mmm")</f>
        <v>May</v>
      </c>
      <c r="D118" s="4" t="str">
        <f>TEXT(Table1[[#This Row],[Order Date]],"yyyy")</f>
        <v>2024</v>
      </c>
      <c r="E118" t="s">
        <v>16</v>
      </c>
      <c r="F118" t="s">
        <v>12</v>
      </c>
      <c r="G118" t="s">
        <v>52</v>
      </c>
      <c r="H118" t="s">
        <v>19</v>
      </c>
      <c r="I118">
        <v>2</v>
      </c>
      <c r="J118" s="2">
        <v>6.99</v>
      </c>
      <c r="K118" s="2">
        <v>13.98</v>
      </c>
      <c r="L118">
        <v>4</v>
      </c>
      <c r="M118" t="str">
        <f>IF(Table1[[#This Row],[Customer Rating]]&gt;=3,"Good","Average")</f>
        <v>Good</v>
      </c>
    </row>
    <row r="119" spans="1:13" x14ac:dyDescent="0.25">
      <c r="A119" t="s">
        <v>167</v>
      </c>
      <c r="B119" s="4">
        <v>45959</v>
      </c>
      <c r="C119" s="4" t="str">
        <f>TEXT(Table1[[#This Row],[Order Date]],"mmm")</f>
        <v>Oct</v>
      </c>
      <c r="D119" s="4" t="str">
        <f>TEXT(Table1[[#This Row],[Order Date]],"yyyy")</f>
        <v>2025</v>
      </c>
      <c r="E119" t="s">
        <v>38</v>
      </c>
      <c r="F119" t="s">
        <v>12</v>
      </c>
      <c r="G119" t="s">
        <v>22</v>
      </c>
      <c r="H119" t="s">
        <v>23</v>
      </c>
      <c r="I119">
        <v>2</v>
      </c>
      <c r="J119" s="2">
        <v>8.99</v>
      </c>
      <c r="K119" s="2">
        <v>17.98</v>
      </c>
      <c r="L119">
        <v>5</v>
      </c>
      <c r="M119" t="str">
        <f>IF(Table1[[#This Row],[Customer Rating]]&gt;=3,"Good","Average")</f>
        <v>Good</v>
      </c>
    </row>
    <row r="120" spans="1:13" x14ac:dyDescent="0.25">
      <c r="A120" t="s">
        <v>168</v>
      </c>
      <c r="B120" s="4">
        <v>45396</v>
      </c>
      <c r="C120" s="4" t="str">
        <f>TEXT(Table1[[#This Row],[Order Date]],"mmm")</f>
        <v>Apr</v>
      </c>
      <c r="D120" s="4" t="str">
        <f>TEXT(Table1[[#This Row],[Order Date]],"yyyy")</f>
        <v>2024</v>
      </c>
      <c r="E120" t="s">
        <v>28</v>
      </c>
      <c r="F120" t="s">
        <v>17</v>
      </c>
      <c r="G120" t="s">
        <v>36</v>
      </c>
      <c r="H120" t="s">
        <v>14</v>
      </c>
      <c r="I120">
        <v>1</v>
      </c>
      <c r="J120" s="2">
        <v>16.989999999999998</v>
      </c>
      <c r="K120" s="2">
        <v>16.989999999999998</v>
      </c>
      <c r="L120">
        <v>1</v>
      </c>
      <c r="M120" t="str">
        <f>IF(Table1[[#This Row],[Customer Rating]]&gt;=3,"Good","Average")</f>
        <v>Average</v>
      </c>
    </row>
    <row r="121" spans="1:13" x14ac:dyDescent="0.25">
      <c r="A121" t="s">
        <v>169</v>
      </c>
      <c r="B121" s="4">
        <v>45342</v>
      </c>
      <c r="C121" s="4" t="str">
        <f>TEXT(Table1[[#This Row],[Order Date]],"mmm")</f>
        <v>Feb</v>
      </c>
      <c r="D121" s="4" t="str">
        <f>TEXT(Table1[[#This Row],[Order Date]],"yyyy")</f>
        <v>2024</v>
      </c>
      <c r="E121" t="s">
        <v>97</v>
      </c>
      <c r="F121" t="s">
        <v>12</v>
      </c>
      <c r="G121" t="s">
        <v>79</v>
      </c>
      <c r="H121" t="s">
        <v>67</v>
      </c>
      <c r="I121">
        <v>1</v>
      </c>
      <c r="J121" s="2">
        <v>10.99</v>
      </c>
      <c r="K121" s="2">
        <v>10.99</v>
      </c>
      <c r="L121">
        <v>5</v>
      </c>
      <c r="M121" t="str">
        <f>IF(Table1[[#This Row],[Customer Rating]]&gt;=3,"Good","Average")</f>
        <v>Good</v>
      </c>
    </row>
    <row r="122" spans="1:13" x14ac:dyDescent="0.25">
      <c r="A122" t="s">
        <v>170</v>
      </c>
      <c r="B122" s="4">
        <v>45826</v>
      </c>
      <c r="C122" s="4" t="str">
        <f>TEXT(Table1[[#This Row],[Order Date]],"mmm")</f>
        <v>Jun</v>
      </c>
      <c r="D122" s="4" t="str">
        <f>TEXT(Table1[[#This Row],[Order Date]],"yyyy")</f>
        <v>2025</v>
      </c>
      <c r="E122" t="s">
        <v>25</v>
      </c>
      <c r="F122" t="s">
        <v>29</v>
      </c>
      <c r="G122" t="s">
        <v>18</v>
      </c>
      <c r="H122" t="s">
        <v>19</v>
      </c>
      <c r="I122">
        <v>2</v>
      </c>
      <c r="J122" s="2">
        <v>9.99</v>
      </c>
      <c r="K122" s="2">
        <v>19.98</v>
      </c>
      <c r="L122">
        <v>5</v>
      </c>
      <c r="M122" t="str">
        <f>IF(Table1[[#This Row],[Customer Rating]]&gt;=3,"Good","Average")</f>
        <v>Good</v>
      </c>
    </row>
    <row r="123" spans="1:13" x14ac:dyDescent="0.25">
      <c r="A123" t="s">
        <v>171</v>
      </c>
      <c r="B123" s="4">
        <v>45965</v>
      </c>
      <c r="C123" s="4" t="str">
        <f>TEXT(Table1[[#This Row],[Order Date]],"mmm")</f>
        <v>Nov</v>
      </c>
      <c r="D123" s="4" t="str">
        <f>TEXT(Table1[[#This Row],[Order Date]],"yyyy")</f>
        <v>2025</v>
      </c>
      <c r="E123" t="s">
        <v>97</v>
      </c>
      <c r="F123" t="s">
        <v>17</v>
      </c>
      <c r="G123" t="s">
        <v>79</v>
      </c>
      <c r="H123" t="s">
        <v>67</v>
      </c>
      <c r="I123">
        <v>4</v>
      </c>
      <c r="J123" s="2">
        <v>10.99</v>
      </c>
      <c r="K123" s="2">
        <v>43.96</v>
      </c>
      <c r="L123">
        <v>5</v>
      </c>
      <c r="M123" t="str">
        <f>IF(Table1[[#This Row],[Customer Rating]]&gt;=3,"Good","Average")</f>
        <v>Good</v>
      </c>
    </row>
    <row r="124" spans="1:13" x14ac:dyDescent="0.25">
      <c r="A124" t="s">
        <v>172</v>
      </c>
      <c r="B124" s="4">
        <v>45466</v>
      </c>
      <c r="C124" s="4" t="str">
        <f>TEXT(Table1[[#This Row],[Order Date]],"mmm")</f>
        <v>Jun</v>
      </c>
      <c r="D124" s="4" t="str">
        <f>TEXT(Table1[[#This Row],[Order Date]],"yyyy")</f>
        <v>2024</v>
      </c>
      <c r="E124" t="s">
        <v>28</v>
      </c>
      <c r="F124" t="s">
        <v>29</v>
      </c>
      <c r="G124" t="s">
        <v>39</v>
      </c>
      <c r="H124" t="s">
        <v>14</v>
      </c>
      <c r="I124">
        <v>2</v>
      </c>
      <c r="J124" s="2">
        <v>24.99</v>
      </c>
      <c r="K124" s="2">
        <v>49.98</v>
      </c>
      <c r="L124">
        <v>5</v>
      </c>
      <c r="M124" t="str">
        <f>IF(Table1[[#This Row],[Customer Rating]]&gt;=3,"Good","Average")</f>
        <v>Good</v>
      </c>
    </row>
    <row r="125" spans="1:13" x14ac:dyDescent="0.25">
      <c r="A125" t="s">
        <v>173</v>
      </c>
      <c r="B125" s="4">
        <v>45422</v>
      </c>
      <c r="C125" s="4" t="str">
        <f>TEXT(Table1[[#This Row],[Order Date]],"mmm")</f>
        <v>May</v>
      </c>
      <c r="D125" s="4" t="str">
        <f>TEXT(Table1[[#This Row],[Order Date]],"yyyy")</f>
        <v>2024</v>
      </c>
      <c r="E125" t="s">
        <v>25</v>
      </c>
      <c r="F125" t="s">
        <v>29</v>
      </c>
      <c r="G125" t="s">
        <v>142</v>
      </c>
      <c r="H125" t="s">
        <v>23</v>
      </c>
      <c r="I125">
        <v>1</v>
      </c>
      <c r="J125" s="2">
        <v>14.99</v>
      </c>
      <c r="K125" s="2">
        <v>14.99</v>
      </c>
      <c r="L125">
        <v>3</v>
      </c>
      <c r="M125" t="str">
        <f>IF(Table1[[#This Row],[Customer Rating]]&gt;=3,"Good","Average")</f>
        <v>Good</v>
      </c>
    </row>
    <row r="126" spans="1:13" x14ac:dyDescent="0.25">
      <c r="A126" t="s">
        <v>174</v>
      </c>
      <c r="B126" s="4">
        <v>45621</v>
      </c>
      <c r="C126" s="4" t="str">
        <f>TEXT(Table1[[#This Row],[Order Date]],"mmm")</f>
        <v>Nov</v>
      </c>
      <c r="D126" s="4" t="str">
        <f>TEXT(Table1[[#This Row],[Order Date]],"yyyy")</f>
        <v>2024</v>
      </c>
      <c r="E126" t="s">
        <v>34</v>
      </c>
      <c r="F126" t="s">
        <v>29</v>
      </c>
      <c r="G126" t="s">
        <v>52</v>
      </c>
      <c r="H126" t="s">
        <v>19</v>
      </c>
      <c r="I126">
        <v>2</v>
      </c>
      <c r="J126" s="2">
        <v>6.99</v>
      </c>
      <c r="K126" s="2">
        <v>13.98</v>
      </c>
      <c r="L126">
        <v>4</v>
      </c>
      <c r="M126" t="str">
        <f>IF(Table1[[#This Row],[Customer Rating]]&gt;=3,"Good","Average")</f>
        <v>Good</v>
      </c>
    </row>
    <row r="127" spans="1:13" x14ac:dyDescent="0.25">
      <c r="A127" t="s">
        <v>175</v>
      </c>
      <c r="B127" s="4">
        <v>45353</v>
      </c>
      <c r="C127" s="4" t="str">
        <f>TEXT(Table1[[#This Row],[Order Date]],"mmm")</f>
        <v>Mar</v>
      </c>
      <c r="D127" s="4" t="str">
        <f>TEXT(Table1[[#This Row],[Order Date]],"yyyy")</f>
        <v>2024</v>
      </c>
      <c r="E127" t="s">
        <v>25</v>
      </c>
      <c r="F127" t="s">
        <v>29</v>
      </c>
      <c r="G127" t="s">
        <v>176</v>
      </c>
      <c r="H127" t="s">
        <v>67</v>
      </c>
      <c r="I127">
        <v>2</v>
      </c>
      <c r="J127" s="2">
        <v>11.99</v>
      </c>
      <c r="K127" s="2">
        <v>23.98</v>
      </c>
      <c r="L127">
        <v>4</v>
      </c>
      <c r="M127" t="str">
        <f>IF(Table1[[#This Row],[Customer Rating]]&gt;=3,"Good","Average")</f>
        <v>Good</v>
      </c>
    </row>
    <row r="128" spans="1:13" x14ac:dyDescent="0.25">
      <c r="A128" t="s">
        <v>177</v>
      </c>
      <c r="B128" s="4">
        <v>45507</v>
      </c>
      <c r="C128" s="4" t="str">
        <f>TEXT(Table1[[#This Row],[Order Date]],"mmm")</f>
        <v>Aug</v>
      </c>
      <c r="D128" s="4" t="str">
        <f>TEXT(Table1[[#This Row],[Order Date]],"yyyy")</f>
        <v>2024</v>
      </c>
      <c r="E128" t="s">
        <v>38</v>
      </c>
      <c r="F128" t="s">
        <v>12</v>
      </c>
      <c r="G128" t="s">
        <v>112</v>
      </c>
      <c r="H128" t="s">
        <v>19</v>
      </c>
      <c r="I128">
        <v>1</v>
      </c>
      <c r="J128" s="2">
        <v>5.99</v>
      </c>
      <c r="K128" s="2">
        <v>5.99</v>
      </c>
      <c r="L128">
        <v>4</v>
      </c>
      <c r="M128" t="str">
        <f>IF(Table1[[#This Row],[Customer Rating]]&gt;=3,"Good","Average")</f>
        <v>Good</v>
      </c>
    </row>
    <row r="129" spans="1:13" x14ac:dyDescent="0.25">
      <c r="A129" t="s">
        <v>178</v>
      </c>
      <c r="B129" s="4">
        <v>45493</v>
      </c>
      <c r="C129" s="4" t="str">
        <f>TEXT(Table1[[#This Row],[Order Date]],"mmm")</f>
        <v>Jul</v>
      </c>
      <c r="D129" s="4" t="str">
        <f>TEXT(Table1[[#This Row],[Order Date]],"yyyy")</f>
        <v>2024</v>
      </c>
      <c r="E129" t="s">
        <v>11</v>
      </c>
      <c r="F129" t="s">
        <v>29</v>
      </c>
      <c r="G129" t="s">
        <v>66</v>
      </c>
      <c r="H129" t="s">
        <v>67</v>
      </c>
      <c r="I129">
        <v>1</v>
      </c>
      <c r="J129" s="2">
        <v>7.99</v>
      </c>
      <c r="K129" s="2">
        <v>7.99</v>
      </c>
      <c r="L129">
        <v>5</v>
      </c>
      <c r="M129" t="str">
        <f>IF(Table1[[#This Row],[Customer Rating]]&gt;=3,"Good","Average")</f>
        <v>Good</v>
      </c>
    </row>
    <row r="130" spans="1:13" x14ac:dyDescent="0.25">
      <c r="A130" t="s">
        <v>179</v>
      </c>
      <c r="B130" s="4">
        <v>45492</v>
      </c>
      <c r="C130" s="4" t="str">
        <f>TEXT(Table1[[#This Row],[Order Date]],"mmm")</f>
        <v>Jul</v>
      </c>
      <c r="D130" s="4" t="str">
        <f>TEXT(Table1[[#This Row],[Order Date]],"yyyy")</f>
        <v>2024</v>
      </c>
      <c r="E130" t="s">
        <v>45</v>
      </c>
      <c r="F130" t="s">
        <v>29</v>
      </c>
      <c r="G130" t="s">
        <v>83</v>
      </c>
      <c r="H130" t="s">
        <v>14</v>
      </c>
      <c r="I130">
        <v>1</v>
      </c>
      <c r="J130" s="2">
        <v>17.989999999999998</v>
      </c>
      <c r="K130" s="2">
        <v>17.989999999999998</v>
      </c>
      <c r="L130">
        <v>5</v>
      </c>
      <c r="M130" t="str">
        <f>IF(Table1[[#This Row],[Customer Rating]]&gt;=3,"Good","Average")</f>
        <v>Good</v>
      </c>
    </row>
    <row r="131" spans="1:13" x14ac:dyDescent="0.25">
      <c r="A131" t="s">
        <v>180</v>
      </c>
      <c r="B131" s="4">
        <v>45688</v>
      </c>
      <c r="C131" s="4" t="str">
        <f>TEXT(Table1[[#This Row],[Order Date]],"mmm")</f>
        <v>Jan</v>
      </c>
      <c r="D131" s="4" t="str">
        <f>TEXT(Table1[[#This Row],[Order Date]],"yyyy")</f>
        <v>2025</v>
      </c>
      <c r="E131" t="s">
        <v>32</v>
      </c>
      <c r="F131" t="s">
        <v>17</v>
      </c>
      <c r="G131" t="s">
        <v>112</v>
      </c>
      <c r="H131" t="s">
        <v>19</v>
      </c>
      <c r="I131">
        <v>4</v>
      </c>
      <c r="J131" s="2">
        <v>5.99</v>
      </c>
      <c r="K131" s="2">
        <v>23.96</v>
      </c>
      <c r="L131">
        <v>4</v>
      </c>
      <c r="M131" t="str">
        <f>IF(Table1[[#This Row],[Customer Rating]]&gt;=3,"Good","Average")</f>
        <v>Good</v>
      </c>
    </row>
    <row r="132" spans="1:13" x14ac:dyDescent="0.25">
      <c r="A132" t="s">
        <v>181</v>
      </c>
      <c r="B132" s="4">
        <v>45304</v>
      </c>
      <c r="C132" s="4" t="str">
        <f>TEXT(Table1[[#This Row],[Order Date]],"mmm")</f>
        <v>Jan</v>
      </c>
      <c r="D132" s="4" t="str">
        <f>TEXT(Table1[[#This Row],[Order Date]],"yyyy")</f>
        <v>2024</v>
      </c>
      <c r="E132" t="s">
        <v>11</v>
      </c>
      <c r="F132" t="s">
        <v>29</v>
      </c>
      <c r="G132" t="s">
        <v>13</v>
      </c>
      <c r="H132" t="s">
        <v>14</v>
      </c>
      <c r="I132">
        <v>3</v>
      </c>
      <c r="J132" s="2">
        <v>18.989999999999998</v>
      </c>
      <c r="K132" s="2">
        <v>56.97</v>
      </c>
      <c r="L132">
        <v>3</v>
      </c>
      <c r="M132" t="str">
        <f>IF(Table1[[#This Row],[Customer Rating]]&gt;=3,"Good","Average")</f>
        <v>Good</v>
      </c>
    </row>
    <row r="133" spans="1:13" x14ac:dyDescent="0.25">
      <c r="A133" t="s">
        <v>182</v>
      </c>
      <c r="B133" s="4">
        <v>45629</v>
      </c>
      <c r="C133" s="4" t="str">
        <f>TEXT(Table1[[#This Row],[Order Date]],"mmm")</f>
        <v>Dec</v>
      </c>
      <c r="D133" s="4" t="str">
        <f>TEXT(Table1[[#This Row],[Order Date]],"yyyy")</f>
        <v>2024</v>
      </c>
      <c r="E133" t="s">
        <v>38</v>
      </c>
      <c r="F133" t="s">
        <v>29</v>
      </c>
      <c r="G133" t="s">
        <v>74</v>
      </c>
      <c r="H133" t="s">
        <v>14</v>
      </c>
      <c r="I133">
        <v>1</v>
      </c>
      <c r="J133" s="2">
        <v>14.99</v>
      </c>
      <c r="K133" s="2">
        <v>14.99</v>
      </c>
      <c r="L133">
        <v>1</v>
      </c>
      <c r="M133" t="str">
        <f>IF(Table1[[#This Row],[Customer Rating]]&gt;=3,"Good","Average")</f>
        <v>Average</v>
      </c>
    </row>
    <row r="134" spans="1:13" x14ac:dyDescent="0.25">
      <c r="A134" t="s">
        <v>183</v>
      </c>
      <c r="B134" s="4">
        <v>45707</v>
      </c>
      <c r="C134" s="4" t="str">
        <f>TEXT(Table1[[#This Row],[Order Date]],"mmm")</f>
        <v>Feb</v>
      </c>
      <c r="D134" s="4" t="str">
        <f>TEXT(Table1[[#This Row],[Order Date]],"yyyy")</f>
        <v>2025</v>
      </c>
      <c r="E134" t="s">
        <v>11</v>
      </c>
      <c r="F134" t="s">
        <v>17</v>
      </c>
      <c r="G134" t="s">
        <v>112</v>
      </c>
      <c r="H134" t="s">
        <v>19</v>
      </c>
      <c r="I134">
        <v>2</v>
      </c>
      <c r="J134" s="2">
        <v>5.99</v>
      </c>
      <c r="K134" s="2">
        <v>11.98</v>
      </c>
      <c r="L134">
        <v>4</v>
      </c>
      <c r="M134" t="str">
        <f>IF(Table1[[#This Row],[Customer Rating]]&gt;=3,"Good","Average")</f>
        <v>Good</v>
      </c>
    </row>
    <row r="135" spans="1:13" x14ac:dyDescent="0.25">
      <c r="A135" t="s">
        <v>184</v>
      </c>
      <c r="B135" s="4">
        <v>45445</v>
      </c>
      <c r="C135" s="4" t="str">
        <f>TEXT(Table1[[#This Row],[Order Date]],"mmm")</f>
        <v>Jun</v>
      </c>
      <c r="D135" s="4" t="str">
        <f>TEXT(Table1[[#This Row],[Order Date]],"yyyy")</f>
        <v>2024</v>
      </c>
      <c r="E135" t="s">
        <v>45</v>
      </c>
      <c r="F135" t="s">
        <v>12</v>
      </c>
      <c r="G135" t="s">
        <v>36</v>
      </c>
      <c r="H135" t="s">
        <v>14</v>
      </c>
      <c r="I135">
        <v>2</v>
      </c>
      <c r="J135" s="2">
        <v>16.989999999999998</v>
      </c>
      <c r="K135" s="2">
        <v>33.979999999999997</v>
      </c>
      <c r="L135">
        <v>3</v>
      </c>
      <c r="M135" t="str">
        <f>IF(Table1[[#This Row],[Customer Rating]]&gt;=3,"Good","Average")</f>
        <v>Good</v>
      </c>
    </row>
    <row r="136" spans="1:13" x14ac:dyDescent="0.25">
      <c r="A136" t="s">
        <v>185</v>
      </c>
      <c r="B136" s="4">
        <v>45936</v>
      </c>
      <c r="C136" s="4" t="str">
        <f>TEXT(Table1[[#This Row],[Order Date]],"mmm")</f>
        <v>Oct</v>
      </c>
      <c r="D136" s="4" t="str">
        <f>TEXT(Table1[[#This Row],[Order Date]],"yyyy")</f>
        <v>2025</v>
      </c>
      <c r="E136" t="s">
        <v>28</v>
      </c>
      <c r="F136" t="s">
        <v>12</v>
      </c>
      <c r="G136" t="s">
        <v>43</v>
      </c>
      <c r="H136" t="s">
        <v>23</v>
      </c>
      <c r="I136">
        <v>1</v>
      </c>
      <c r="J136" s="2">
        <v>11.99</v>
      </c>
      <c r="K136" s="2">
        <v>11.99</v>
      </c>
      <c r="L136">
        <v>4</v>
      </c>
      <c r="M136" t="str">
        <f>IF(Table1[[#This Row],[Customer Rating]]&gt;=3,"Good","Average")</f>
        <v>Good</v>
      </c>
    </row>
    <row r="137" spans="1:13" x14ac:dyDescent="0.25">
      <c r="A137" t="s">
        <v>186</v>
      </c>
      <c r="B137" s="4">
        <v>45368</v>
      </c>
      <c r="C137" s="4" t="str">
        <f>TEXT(Table1[[#This Row],[Order Date]],"mmm")</f>
        <v>Mar</v>
      </c>
      <c r="D137" s="4" t="str">
        <f>TEXT(Table1[[#This Row],[Order Date]],"yyyy")</f>
        <v>2024</v>
      </c>
      <c r="E137" t="s">
        <v>97</v>
      </c>
      <c r="F137" t="s">
        <v>12</v>
      </c>
      <c r="G137" t="s">
        <v>46</v>
      </c>
      <c r="H137" t="s">
        <v>14</v>
      </c>
      <c r="I137">
        <v>2</v>
      </c>
      <c r="J137" s="2">
        <v>32.99</v>
      </c>
      <c r="K137" s="2">
        <v>65.98</v>
      </c>
      <c r="L137">
        <v>2</v>
      </c>
      <c r="M137" t="str">
        <f>IF(Table1[[#This Row],[Customer Rating]]&gt;=3,"Good","Average")</f>
        <v>Average</v>
      </c>
    </row>
    <row r="138" spans="1:13" x14ac:dyDescent="0.25">
      <c r="A138" t="s">
        <v>187</v>
      </c>
      <c r="B138" s="4">
        <v>45554</v>
      </c>
      <c r="C138" s="4" t="str">
        <f>TEXT(Table1[[#This Row],[Order Date]],"mmm")</f>
        <v>Sep</v>
      </c>
      <c r="D138" s="4" t="str">
        <f>TEXT(Table1[[#This Row],[Order Date]],"yyyy")</f>
        <v>2024</v>
      </c>
      <c r="E138" t="s">
        <v>11</v>
      </c>
      <c r="F138" t="s">
        <v>17</v>
      </c>
      <c r="G138" t="s">
        <v>112</v>
      </c>
      <c r="H138" t="s">
        <v>19</v>
      </c>
      <c r="I138">
        <v>1</v>
      </c>
      <c r="J138" s="2">
        <v>5.99</v>
      </c>
      <c r="K138" s="2">
        <v>5.99</v>
      </c>
      <c r="L138">
        <v>3</v>
      </c>
      <c r="M138" t="str">
        <f>IF(Table1[[#This Row],[Customer Rating]]&gt;=3,"Good","Average")</f>
        <v>Good</v>
      </c>
    </row>
    <row r="139" spans="1:13" x14ac:dyDescent="0.25">
      <c r="A139" t="s">
        <v>188</v>
      </c>
      <c r="B139" s="4">
        <v>45738</v>
      </c>
      <c r="C139" s="4" t="str">
        <f>TEXT(Table1[[#This Row],[Order Date]],"mmm")</f>
        <v>Mar</v>
      </c>
      <c r="D139" s="4" t="str">
        <f>TEXT(Table1[[#This Row],[Order Date]],"yyyy")</f>
        <v>2025</v>
      </c>
      <c r="E139" t="s">
        <v>16</v>
      </c>
      <c r="F139" t="s">
        <v>29</v>
      </c>
      <c r="G139" t="s">
        <v>57</v>
      </c>
      <c r="H139" t="s">
        <v>14</v>
      </c>
      <c r="I139">
        <v>1</v>
      </c>
      <c r="J139" s="2">
        <v>15.99</v>
      </c>
      <c r="K139" s="2">
        <v>15.99</v>
      </c>
      <c r="L139">
        <v>4</v>
      </c>
      <c r="M139" t="str">
        <f>IF(Table1[[#This Row],[Customer Rating]]&gt;=3,"Good","Average")</f>
        <v>Good</v>
      </c>
    </row>
    <row r="140" spans="1:13" x14ac:dyDescent="0.25">
      <c r="A140" t="s">
        <v>189</v>
      </c>
      <c r="B140" s="4">
        <v>45576</v>
      </c>
      <c r="C140" s="4" t="str">
        <f>TEXT(Table1[[#This Row],[Order Date]],"mmm")</f>
        <v>Oct</v>
      </c>
      <c r="D140" s="4" t="str">
        <f>TEXT(Table1[[#This Row],[Order Date]],"yyyy")</f>
        <v>2024</v>
      </c>
      <c r="E140" t="s">
        <v>28</v>
      </c>
      <c r="F140" t="s">
        <v>17</v>
      </c>
      <c r="G140" t="s">
        <v>52</v>
      </c>
      <c r="H140" t="s">
        <v>19</v>
      </c>
      <c r="I140">
        <v>1</v>
      </c>
      <c r="J140" s="2">
        <v>6.99</v>
      </c>
      <c r="K140" s="2">
        <v>6.99</v>
      </c>
      <c r="L140">
        <v>4</v>
      </c>
      <c r="M140" t="str">
        <f>IF(Table1[[#This Row],[Customer Rating]]&gt;=3,"Good","Average")</f>
        <v>Good</v>
      </c>
    </row>
    <row r="141" spans="1:13" x14ac:dyDescent="0.25">
      <c r="A141" t="s">
        <v>190</v>
      </c>
      <c r="B141" s="4">
        <v>45545</v>
      </c>
      <c r="C141" s="4" t="str">
        <f>TEXT(Table1[[#This Row],[Order Date]],"mmm")</f>
        <v>Sep</v>
      </c>
      <c r="D141" s="4" t="str">
        <f>TEXT(Table1[[#This Row],[Order Date]],"yyyy")</f>
        <v>2024</v>
      </c>
      <c r="E141" t="s">
        <v>28</v>
      </c>
      <c r="F141" t="s">
        <v>17</v>
      </c>
      <c r="G141" t="s">
        <v>26</v>
      </c>
      <c r="H141" t="s">
        <v>19</v>
      </c>
      <c r="I141">
        <v>3</v>
      </c>
      <c r="J141" s="2">
        <v>3.49</v>
      </c>
      <c r="K141" s="2">
        <v>10.47</v>
      </c>
      <c r="L141">
        <v>4</v>
      </c>
      <c r="M141" t="str">
        <f>IF(Table1[[#This Row],[Customer Rating]]&gt;=3,"Good","Average")</f>
        <v>Good</v>
      </c>
    </row>
    <row r="142" spans="1:13" x14ac:dyDescent="0.25">
      <c r="A142" t="s">
        <v>191</v>
      </c>
      <c r="B142" s="4">
        <v>45837</v>
      </c>
      <c r="C142" s="4" t="str">
        <f>TEXT(Table1[[#This Row],[Order Date]],"mmm")</f>
        <v>Jun</v>
      </c>
      <c r="D142" s="4" t="str">
        <f>TEXT(Table1[[#This Row],[Order Date]],"yyyy")</f>
        <v>2025</v>
      </c>
      <c r="E142" t="s">
        <v>38</v>
      </c>
      <c r="F142" t="s">
        <v>17</v>
      </c>
      <c r="G142" t="s">
        <v>142</v>
      </c>
      <c r="H142" t="s">
        <v>23</v>
      </c>
      <c r="I142">
        <v>1</v>
      </c>
      <c r="J142" s="2">
        <v>14.99</v>
      </c>
      <c r="K142" s="2">
        <v>14.99</v>
      </c>
      <c r="L142">
        <v>5</v>
      </c>
      <c r="M142" t="str">
        <f>IF(Table1[[#This Row],[Customer Rating]]&gt;=3,"Good","Average")</f>
        <v>Good</v>
      </c>
    </row>
    <row r="143" spans="1:13" x14ac:dyDescent="0.25">
      <c r="A143" t="s">
        <v>192</v>
      </c>
      <c r="B143" s="4">
        <v>45958</v>
      </c>
      <c r="C143" s="4" t="str">
        <f>TEXT(Table1[[#This Row],[Order Date]],"mmm")</f>
        <v>Oct</v>
      </c>
      <c r="D143" s="4" t="str">
        <f>TEXT(Table1[[#This Row],[Order Date]],"yyyy")</f>
        <v>2025</v>
      </c>
      <c r="E143" t="s">
        <v>45</v>
      </c>
      <c r="F143" t="s">
        <v>17</v>
      </c>
      <c r="G143" t="s">
        <v>43</v>
      </c>
      <c r="H143" t="s">
        <v>23</v>
      </c>
      <c r="I143">
        <v>2</v>
      </c>
      <c r="J143" s="2">
        <v>11.99</v>
      </c>
      <c r="K143" s="2">
        <v>23.98</v>
      </c>
      <c r="L143">
        <v>3</v>
      </c>
      <c r="M143" t="str">
        <f>IF(Table1[[#This Row],[Customer Rating]]&gt;=3,"Good","Average")</f>
        <v>Good</v>
      </c>
    </row>
    <row r="144" spans="1:13" x14ac:dyDescent="0.25">
      <c r="A144" t="s">
        <v>193</v>
      </c>
      <c r="B144" s="4">
        <v>45296</v>
      </c>
      <c r="C144" s="4" t="str">
        <f>TEXT(Table1[[#This Row],[Order Date]],"mmm")</f>
        <v>Jan</v>
      </c>
      <c r="D144" s="4" t="str">
        <f>TEXT(Table1[[#This Row],[Order Date]],"yyyy")</f>
        <v>2024</v>
      </c>
      <c r="E144" t="s">
        <v>28</v>
      </c>
      <c r="F144" t="s">
        <v>29</v>
      </c>
      <c r="G144" t="s">
        <v>112</v>
      </c>
      <c r="H144" t="s">
        <v>19</v>
      </c>
      <c r="I144">
        <v>2</v>
      </c>
      <c r="J144" s="2">
        <v>5.99</v>
      </c>
      <c r="K144" s="2">
        <v>11.98</v>
      </c>
      <c r="L144">
        <v>4</v>
      </c>
      <c r="M144" t="str">
        <f>IF(Table1[[#This Row],[Customer Rating]]&gt;=3,"Good","Average")</f>
        <v>Good</v>
      </c>
    </row>
    <row r="145" spans="1:13" x14ac:dyDescent="0.25">
      <c r="A145" t="s">
        <v>194</v>
      </c>
      <c r="B145" s="4">
        <v>45396</v>
      </c>
      <c r="C145" s="4" t="str">
        <f>TEXT(Table1[[#This Row],[Order Date]],"mmm")</f>
        <v>Apr</v>
      </c>
      <c r="D145" s="4" t="str">
        <f>TEXT(Table1[[#This Row],[Order Date]],"yyyy")</f>
        <v>2024</v>
      </c>
      <c r="E145" t="s">
        <v>11</v>
      </c>
      <c r="F145" t="s">
        <v>12</v>
      </c>
      <c r="G145" t="s">
        <v>142</v>
      </c>
      <c r="H145" t="s">
        <v>23</v>
      </c>
      <c r="I145">
        <v>4</v>
      </c>
      <c r="J145" s="2">
        <v>14.99</v>
      </c>
      <c r="K145" s="2">
        <v>59.96</v>
      </c>
      <c r="L145">
        <v>3</v>
      </c>
      <c r="M145" t="str">
        <f>IF(Table1[[#This Row],[Customer Rating]]&gt;=3,"Good","Average")</f>
        <v>Good</v>
      </c>
    </row>
    <row r="146" spans="1:13" x14ac:dyDescent="0.25">
      <c r="A146" t="s">
        <v>195</v>
      </c>
      <c r="B146" s="4">
        <v>45900</v>
      </c>
      <c r="C146" s="4" t="str">
        <f>TEXT(Table1[[#This Row],[Order Date]],"mmm")</f>
        <v>Aug</v>
      </c>
      <c r="D146" s="4" t="str">
        <f>TEXT(Table1[[#This Row],[Order Date]],"yyyy")</f>
        <v>2025</v>
      </c>
      <c r="E146" t="s">
        <v>32</v>
      </c>
      <c r="F146" t="s">
        <v>17</v>
      </c>
      <c r="G146" t="s">
        <v>46</v>
      </c>
      <c r="H146" t="s">
        <v>14</v>
      </c>
      <c r="I146">
        <v>4</v>
      </c>
      <c r="J146" s="2">
        <v>32.99</v>
      </c>
      <c r="K146" s="2">
        <v>131.96</v>
      </c>
      <c r="L146">
        <v>5</v>
      </c>
      <c r="M146" t="str">
        <f>IF(Table1[[#This Row],[Customer Rating]]&gt;=3,"Good","Average")</f>
        <v>Good</v>
      </c>
    </row>
    <row r="147" spans="1:13" x14ac:dyDescent="0.25">
      <c r="A147" t="s">
        <v>196</v>
      </c>
      <c r="B147" s="4">
        <v>45396</v>
      </c>
      <c r="C147" s="4" t="str">
        <f>TEXT(Table1[[#This Row],[Order Date]],"mmm")</f>
        <v>Apr</v>
      </c>
      <c r="D147" s="4" t="str">
        <f>TEXT(Table1[[#This Row],[Order Date]],"yyyy")</f>
        <v>2024</v>
      </c>
      <c r="E147" t="s">
        <v>28</v>
      </c>
      <c r="F147" t="s">
        <v>29</v>
      </c>
      <c r="G147" t="s">
        <v>57</v>
      </c>
      <c r="H147" t="s">
        <v>14</v>
      </c>
      <c r="I147">
        <v>1</v>
      </c>
      <c r="J147" s="2">
        <v>15.99</v>
      </c>
      <c r="K147" s="2">
        <v>15.99</v>
      </c>
      <c r="L147">
        <v>3</v>
      </c>
      <c r="M147" t="str">
        <f>IF(Table1[[#This Row],[Customer Rating]]&gt;=3,"Good","Average")</f>
        <v>Good</v>
      </c>
    </row>
    <row r="148" spans="1:13" x14ac:dyDescent="0.25">
      <c r="A148" t="s">
        <v>197</v>
      </c>
      <c r="B148" s="4">
        <v>45498</v>
      </c>
      <c r="C148" s="4" t="str">
        <f>TEXT(Table1[[#This Row],[Order Date]],"mmm")</f>
        <v>Jul</v>
      </c>
      <c r="D148" s="4" t="str">
        <f>TEXT(Table1[[#This Row],[Order Date]],"yyyy")</f>
        <v>2024</v>
      </c>
      <c r="E148" t="s">
        <v>45</v>
      </c>
      <c r="F148" t="s">
        <v>29</v>
      </c>
      <c r="G148" t="s">
        <v>13</v>
      </c>
      <c r="H148" t="s">
        <v>14</v>
      </c>
      <c r="I148">
        <v>1</v>
      </c>
      <c r="J148" s="2">
        <v>18.989999999999998</v>
      </c>
      <c r="K148" s="2">
        <v>18.989999999999998</v>
      </c>
      <c r="L148">
        <v>4</v>
      </c>
      <c r="M148" t="str">
        <f>IF(Table1[[#This Row],[Customer Rating]]&gt;=3,"Good","Average")</f>
        <v>Good</v>
      </c>
    </row>
    <row r="149" spans="1:13" x14ac:dyDescent="0.25">
      <c r="A149" t="s">
        <v>198</v>
      </c>
      <c r="B149" s="4">
        <v>45752</v>
      </c>
      <c r="C149" s="4" t="str">
        <f>TEXT(Table1[[#This Row],[Order Date]],"mmm")</f>
        <v>Apr</v>
      </c>
      <c r="D149" s="4" t="str">
        <f>TEXT(Table1[[#This Row],[Order Date]],"yyyy")</f>
        <v>2025</v>
      </c>
      <c r="E149" t="s">
        <v>25</v>
      </c>
      <c r="F149" t="s">
        <v>29</v>
      </c>
      <c r="G149" t="s">
        <v>30</v>
      </c>
      <c r="H149" t="s">
        <v>19</v>
      </c>
      <c r="I149">
        <v>2</v>
      </c>
      <c r="J149" s="2">
        <v>7.99</v>
      </c>
      <c r="K149" s="2">
        <v>15.98</v>
      </c>
      <c r="L149">
        <v>4</v>
      </c>
      <c r="M149" t="str">
        <f>IF(Table1[[#This Row],[Customer Rating]]&gt;=3,"Good","Average")</f>
        <v>Good</v>
      </c>
    </row>
    <row r="150" spans="1:13" x14ac:dyDescent="0.25">
      <c r="A150" t="s">
        <v>199</v>
      </c>
      <c r="B150" s="4">
        <v>45753</v>
      </c>
      <c r="C150" s="4" t="str">
        <f>TEXT(Table1[[#This Row],[Order Date]],"mmm")</f>
        <v>Apr</v>
      </c>
      <c r="D150" s="4" t="str">
        <f>TEXT(Table1[[#This Row],[Order Date]],"yyyy")</f>
        <v>2025</v>
      </c>
      <c r="E150" t="s">
        <v>25</v>
      </c>
      <c r="F150" t="s">
        <v>12</v>
      </c>
      <c r="G150" t="s">
        <v>36</v>
      </c>
      <c r="H150" t="s">
        <v>14</v>
      </c>
      <c r="I150">
        <v>4</v>
      </c>
      <c r="J150" s="2">
        <v>16.989999999999998</v>
      </c>
      <c r="K150" s="2">
        <v>67.959999999999994</v>
      </c>
      <c r="L150">
        <v>4</v>
      </c>
      <c r="M150" t="str">
        <f>IF(Table1[[#This Row],[Customer Rating]]&gt;=3,"Good","Average")</f>
        <v>Good</v>
      </c>
    </row>
    <row r="151" spans="1:13" x14ac:dyDescent="0.25">
      <c r="A151" t="s">
        <v>200</v>
      </c>
      <c r="B151" s="4">
        <v>45919</v>
      </c>
      <c r="C151" s="4" t="str">
        <f>TEXT(Table1[[#This Row],[Order Date]],"mmm")</f>
        <v>Sep</v>
      </c>
      <c r="D151" s="4" t="str">
        <f>TEXT(Table1[[#This Row],[Order Date]],"yyyy")</f>
        <v>2025</v>
      </c>
      <c r="E151" t="s">
        <v>28</v>
      </c>
      <c r="F151" t="s">
        <v>29</v>
      </c>
      <c r="G151" t="s">
        <v>39</v>
      </c>
      <c r="H151" t="s">
        <v>14</v>
      </c>
      <c r="I151">
        <v>1</v>
      </c>
      <c r="J151" s="2">
        <v>24.99</v>
      </c>
      <c r="K151" s="2">
        <v>24.99</v>
      </c>
      <c r="L151">
        <v>4</v>
      </c>
      <c r="M151" t="str">
        <f>IF(Table1[[#This Row],[Customer Rating]]&gt;=3,"Good","Average")</f>
        <v>Good</v>
      </c>
    </row>
    <row r="152" spans="1:13" x14ac:dyDescent="0.25">
      <c r="A152" t="s">
        <v>201</v>
      </c>
      <c r="B152" s="4">
        <v>45299</v>
      </c>
      <c r="C152" s="4" t="str">
        <f>TEXT(Table1[[#This Row],[Order Date]],"mmm")</f>
        <v>Jan</v>
      </c>
      <c r="D152" s="4" t="str">
        <f>TEXT(Table1[[#This Row],[Order Date]],"yyyy")</f>
        <v>2024</v>
      </c>
      <c r="E152" t="s">
        <v>28</v>
      </c>
      <c r="F152" t="s">
        <v>17</v>
      </c>
      <c r="G152" t="s">
        <v>79</v>
      </c>
      <c r="H152" t="s">
        <v>67</v>
      </c>
      <c r="I152">
        <v>2</v>
      </c>
      <c r="J152" s="2">
        <v>10.99</v>
      </c>
      <c r="K152" s="2">
        <v>21.98</v>
      </c>
      <c r="L152">
        <v>5</v>
      </c>
      <c r="M152" t="str">
        <f>IF(Table1[[#This Row],[Customer Rating]]&gt;=3,"Good","Average")</f>
        <v>Good</v>
      </c>
    </row>
    <row r="153" spans="1:13" x14ac:dyDescent="0.25">
      <c r="A153" t="s">
        <v>202</v>
      </c>
      <c r="B153" s="4">
        <v>45996</v>
      </c>
      <c r="C153" s="4" t="str">
        <f>TEXT(Table1[[#This Row],[Order Date]],"mmm")</f>
        <v>Dec</v>
      </c>
      <c r="D153" s="4" t="str">
        <f>TEXT(Table1[[#This Row],[Order Date]],"yyyy")</f>
        <v>2025</v>
      </c>
      <c r="E153" t="s">
        <v>16</v>
      </c>
      <c r="F153" t="s">
        <v>12</v>
      </c>
      <c r="G153" t="s">
        <v>39</v>
      </c>
      <c r="H153" t="s">
        <v>14</v>
      </c>
      <c r="I153">
        <v>3</v>
      </c>
      <c r="J153" s="2">
        <v>24.99</v>
      </c>
      <c r="K153" s="2">
        <v>74.97</v>
      </c>
      <c r="L153">
        <v>5</v>
      </c>
      <c r="M153" t="str">
        <f>IF(Table1[[#This Row],[Customer Rating]]&gt;=3,"Good","Average")</f>
        <v>Good</v>
      </c>
    </row>
    <row r="154" spans="1:13" x14ac:dyDescent="0.25">
      <c r="A154" t="s">
        <v>203</v>
      </c>
      <c r="B154" s="4">
        <v>45889</v>
      </c>
      <c r="C154" s="4" t="str">
        <f>TEXT(Table1[[#This Row],[Order Date]],"mmm")</f>
        <v>Aug</v>
      </c>
      <c r="D154" s="4" t="str">
        <f>TEXT(Table1[[#This Row],[Order Date]],"yyyy")</f>
        <v>2025</v>
      </c>
      <c r="E154" t="s">
        <v>32</v>
      </c>
      <c r="F154" t="s">
        <v>12</v>
      </c>
      <c r="G154" t="s">
        <v>66</v>
      </c>
      <c r="H154" t="s">
        <v>67</v>
      </c>
      <c r="I154">
        <v>1</v>
      </c>
      <c r="J154" s="2">
        <v>7.99</v>
      </c>
      <c r="K154" s="2">
        <v>7.99</v>
      </c>
      <c r="L154">
        <v>3</v>
      </c>
      <c r="M154" t="str">
        <f>IF(Table1[[#This Row],[Customer Rating]]&gt;=3,"Good","Average")</f>
        <v>Good</v>
      </c>
    </row>
    <row r="155" spans="1:13" x14ac:dyDescent="0.25">
      <c r="A155" t="s">
        <v>204</v>
      </c>
      <c r="B155" s="4">
        <v>45450</v>
      </c>
      <c r="C155" s="4" t="str">
        <f>TEXT(Table1[[#This Row],[Order Date]],"mmm")</f>
        <v>Jun</v>
      </c>
      <c r="D155" s="4" t="str">
        <f>TEXT(Table1[[#This Row],[Order Date]],"yyyy")</f>
        <v>2024</v>
      </c>
      <c r="E155" t="s">
        <v>28</v>
      </c>
      <c r="F155" t="s">
        <v>17</v>
      </c>
      <c r="G155" t="s">
        <v>57</v>
      </c>
      <c r="H155" t="s">
        <v>14</v>
      </c>
      <c r="I155">
        <v>2</v>
      </c>
      <c r="J155" s="2">
        <v>15.99</v>
      </c>
      <c r="K155" s="2">
        <v>31.98</v>
      </c>
      <c r="L155">
        <v>1</v>
      </c>
      <c r="M155" t="str">
        <f>IF(Table1[[#This Row],[Customer Rating]]&gt;=3,"Good","Average")</f>
        <v>Average</v>
      </c>
    </row>
    <row r="156" spans="1:13" x14ac:dyDescent="0.25">
      <c r="A156" t="s">
        <v>205</v>
      </c>
      <c r="B156" s="4">
        <v>45437</v>
      </c>
      <c r="C156" s="4" t="str">
        <f>TEXT(Table1[[#This Row],[Order Date]],"mmm")</f>
        <v>May</v>
      </c>
      <c r="D156" s="4" t="str">
        <f>TEXT(Table1[[#This Row],[Order Date]],"yyyy")</f>
        <v>2024</v>
      </c>
      <c r="E156" t="s">
        <v>34</v>
      </c>
      <c r="F156" t="s">
        <v>17</v>
      </c>
      <c r="G156" t="s">
        <v>83</v>
      </c>
      <c r="H156" t="s">
        <v>14</v>
      </c>
      <c r="I156">
        <v>1</v>
      </c>
      <c r="J156" s="2">
        <v>17.989999999999998</v>
      </c>
      <c r="K156" s="2">
        <v>17.989999999999998</v>
      </c>
      <c r="L156">
        <v>3</v>
      </c>
      <c r="M156" t="str">
        <f>IF(Table1[[#This Row],[Customer Rating]]&gt;=3,"Good","Average")</f>
        <v>Good</v>
      </c>
    </row>
    <row r="157" spans="1:13" x14ac:dyDescent="0.25">
      <c r="A157" t="s">
        <v>206</v>
      </c>
      <c r="B157" s="4">
        <v>45563</v>
      </c>
      <c r="C157" s="4" t="str">
        <f>TEXT(Table1[[#This Row],[Order Date]],"mmm")</f>
        <v>Sep</v>
      </c>
      <c r="D157" s="4" t="str">
        <f>TEXT(Table1[[#This Row],[Order Date]],"yyyy")</f>
        <v>2024</v>
      </c>
      <c r="E157" t="s">
        <v>32</v>
      </c>
      <c r="F157" t="s">
        <v>29</v>
      </c>
      <c r="G157" t="s">
        <v>22</v>
      </c>
      <c r="H157" t="s">
        <v>23</v>
      </c>
      <c r="I157">
        <v>1</v>
      </c>
      <c r="J157" s="2">
        <v>8.99</v>
      </c>
      <c r="K157" s="2">
        <v>8.99</v>
      </c>
      <c r="L157">
        <v>2</v>
      </c>
      <c r="M157" t="str">
        <f>IF(Table1[[#This Row],[Customer Rating]]&gt;=3,"Good","Average")</f>
        <v>Average</v>
      </c>
    </row>
    <row r="158" spans="1:13" x14ac:dyDescent="0.25">
      <c r="A158" t="s">
        <v>207</v>
      </c>
      <c r="B158" s="4">
        <v>45934</v>
      </c>
      <c r="C158" s="4" t="str">
        <f>TEXT(Table1[[#This Row],[Order Date]],"mmm")</f>
        <v>Oct</v>
      </c>
      <c r="D158" s="4" t="str">
        <f>TEXT(Table1[[#This Row],[Order Date]],"yyyy")</f>
        <v>2025</v>
      </c>
      <c r="E158" t="s">
        <v>16</v>
      </c>
      <c r="F158" t="s">
        <v>29</v>
      </c>
      <c r="G158" t="s">
        <v>74</v>
      </c>
      <c r="H158" t="s">
        <v>14</v>
      </c>
      <c r="I158">
        <v>1</v>
      </c>
      <c r="J158" s="2">
        <v>14.99</v>
      </c>
      <c r="K158" s="2">
        <v>14.99</v>
      </c>
      <c r="L158">
        <v>5</v>
      </c>
      <c r="M158" t="str">
        <f>IF(Table1[[#This Row],[Customer Rating]]&gt;=3,"Good","Average")</f>
        <v>Good</v>
      </c>
    </row>
    <row r="159" spans="1:13" x14ac:dyDescent="0.25">
      <c r="A159" t="s">
        <v>208</v>
      </c>
      <c r="B159" s="4">
        <v>45720</v>
      </c>
      <c r="C159" s="4" t="str">
        <f>TEXT(Table1[[#This Row],[Order Date]],"mmm")</f>
        <v>Mar</v>
      </c>
      <c r="D159" s="4" t="str">
        <f>TEXT(Table1[[#This Row],[Order Date]],"yyyy")</f>
        <v>2025</v>
      </c>
      <c r="E159" t="s">
        <v>16</v>
      </c>
      <c r="F159" t="s">
        <v>29</v>
      </c>
      <c r="G159" t="s">
        <v>30</v>
      </c>
      <c r="H159" t="s">
        <v>19</v>
      </c>
      <c r="I159">
        <v>2</v>
      </c>
      <c r="J159" s="2">
        <v>7.99</v>
      </c>
      <c r="K159" s="2">
        <v>15.98</v>
      </c>
      <c r="L159">
        <v>5</v>
      </c>
      <c r="M159" t="str">
        <f>IF(Table1[[#This Row],[Customer Rating]]&gt;=3,"Good","Average")</f>
        <v>Good</v>
      </c>
    </row>
    <row r="160" spans="1:13" x14ac:dyDescent="0.25">
      <c r="A160" t="s">
        <v>209</v>
      </c>
      <c r="B160" s="4">
        <v>45385</v>
      </c>
      <c r="C160" s="4" t="str">
        <f>TEXT(Table1[[#This Row],[Order Date]],"mmm")</f>
        <v>Apr</v>
      </c>
      <c r="D160" s="4" t="str">
        <f>TEXT(Table1[[#This Row],[Order Date]],"yyyy")</f>
        <v>2024</v>
      </c>
      <c r="E160" t="s">
        <v>11</v>
      </c>
      <c r="F160" t="s">
        <v>17</v>
      </c>
      <c r="G160" t="s">
        <v>13</v>
      </c>
      <c r="H160" t="s">
        <v>14</v>
      </c>
      <c r="I160">
        <v>1</v>
      </c>
      <c r="J160" s="2">
        <v>18.989999999999998</v>
      </c>
      <c r="K160" s="2">
        <v>18.989999999999998</v>
      </c>
      <c r="L160">
        <v>4</v>
      </c>
      <c r="M160" t="str">
        <f>IF(Table1[[#This Row],[Customer Rating]]&gt;=3,"Good","Average")</f>
        <v>Good</v>
      </c>
    </row>
    <row r="161" spans="1:13" x14ac:dyDescent="0.25">
      <c r="A161" t="s">
        <v>210</v>
      </c>
      <c r="B161" s="4">
        <v>45793</v>
      </c>
      <c r="C161" s="4" t="str">
        <f>TEXT(Table1[[#This Row],[Order Date]],"mmm")</f>
        <v>May</v>
      </c>
      <c r="D161" s="4" t="str">
        <f>TEXT(Table1[[#This Row],[Order Date]],"yyyy")</f>
        <v>2025</v>
      </c>
      <c r="E161" t="s">
        <v>25</v>
      </c>
      <c r="F161" t="s">
        <v>29</v>
      </c>
      <c r="G161" t="s">
        <v>43</v>
      </c>
      <c r="H161" t="s">
        <v>23</v>
      </c>
      <c r="I161">
        <v>4</v>
      </c>
      <c r="J161" s="2">
        <v>11.99</v>
      </c>
      <c r="K161" s="2">
        <v>47.96</v>
      </c>
      <c r="L161">
        <v>4</v>
      </c>
      <c r="M161" t="str">
        <f>IF(Table1[[#This Row],[Customer Rating]]&gt;=3,"Good","Average")</f>
        <v>Good</v>
      </c>
    </row>
    <row r="162" spans="1:13" x14ac:dyDescent="0.25">
      <c r="A162" t="s">
        <v>211</v>
      </c>
      <c r="B162" s="4">
        <v>45351</v>
      </c>
      <c r="C162" s="4" t="str">
        <f>TEXT(Table1[[#This Row],[Order Date]],"mmm")</f>
        <v>Feb</v>
      </c>
      <c r="D162" s="4" t="str">
        <f>TEXT(Table1[[#This Row],[Order Date]],"yyyy")</f>
        <v>2024</v>
      </c>
      <c r="E162" t="s">
        <v>45</v>
      </c>
      <c r="F162" t="s">
        <v>12</v>
      </c>
      <c r="G162" t="s">
        <v>52</v>
      </c>
      <c r="H162" t="s">
        <v>19</v>
      </c>
      <c r="I162">
        <v>1</v>
      </c>
      <c r="J162" s="2">
        <v>6.99</v>
      </c>
      <c r="K162" s="2">
        <v>6.99</v>
      </c>
      <c r="L162">
        <v>4</v>
      </c>
      <c r="M162" t="str">
        <f>IF(Table1[[#This Row],[Customer Rating]]&gt;=3,"Good","Average")</f>
        <v>Good</v>
      </c>
    </row>
    <row r="163" spans="1:13" x14ac:dyDescent="0.25">
      <c r="A163" t="s">
        <v>212</v>
      </c>
      <c r="B163" s="4">
        <v>45887</v>
      </c>
      <c r="C163" s="4" t="str">
        <f>TEXT(Table1[[#This Row],[Order Date]],"mmm")</f>
        <v>Aug</v>
      </c>
      <c r="D163" s="4" t="str">
        <f>TEXT(Table1[[#This Row],[Order Date]],"yyyy")</f>
        <v>2025</v>
      </c>
      <c r="E163" t="s">
        <v>25</v>
      </c>
      <c r="F163" t="s">
        <v>12</v>
      </c>
      <c r="G163" t="s">
        <v>39</v>
      </c>
      <c r="H163" t="s">
        <v>14</v>
      </c>
      <c r="I163">
        <v>1</v>
      </c>
      <c r="J163" s="2">
        <v>24.99</v>
      </c>
      <c r="K163" s="2">
        <v>24.99</v>
      </c>
      <c r="L163">
        <v>4</v>
      </c>
      <c r="M163" t="str">
        <f>IF(Table1[[#This Row],[Customer Rating]]&gt;=3,"Good","Average")</f>
        <v>Good</v>
      </c>
    </row>
    <row r="164" spans="1:13" x14ac:dyDescent="0.25">
      <c r="A164" t="s">
        <v>213</v>
      </c>
      <c r="B164" s="4">
        <v>45443</v>
      </c>
      <c r="C164" s="4" t="str">
        <f>TEXT(Table1[[#This Row],[Order Date]],"mmm")</f>
        <v>May</v>
      </c>
      <c r="D164" s="4" t="str">
        <f>TEXT(Table1[[#This Row],[Order Date]],"yyyy")</f>
        <v>2024</v>
      </c>
      <c r="E164" t="s">
        <v>16</v>
      </c>
      <c r="F164" t="s">
        <v>17</v>
      </c>
      <c r="G164" t="s">
        <v>55</v>
      </c>
      <c r="H164" t="s">
        <v>23</v>
      </c>
      <c r="I164">
        <v>1</v>
      </c>
      <c r="J164" s="2">
        <v>10.99</v>
      </c>
      <c r="K164" s="2">
        <v>10.99</v>
      </c>
      <c r="L164">
        <v>5</v>
      </c>
      <c r="M164" t="str">
        <f>IF(Table1[[#This Row],[Customer Rating]]&gt;=3,"Good","Average")</f>
        <v>Good</v>
      </c>
    </row>
    <row r="165" spans="1:13" x14ac:dyDescent="0.25">
      <c r="A165" t="s">
        <v>214</v>
      </c>
      <c r="B165" s="4">
        <v>45953</v>
      </c>
      <c r="C165" s="4" t="str">
        <f>TEXT(Table1[[#This Row],[Order Date]],"mmm")</f>
        <v>Oct</v>
      </c>
      <c r="D165" s="4" t="str">
        <f>TEXT(Table1[[#This Row],[Order Date]],"yyyy")</f>
        <v>2025</v>
      </c>
      <c r="E165" t="s">
        <v>21</v>
      </c>
      <c r="F165" t="s">
        <v>29</v>
      </c>
      <c r="G165" t="s">
        <v>46</v>
      </c>
      <c r="H165" t="s">
        <v>14</v>
      </c>
      <c r="I165">
        <v>2</v>
      </c>
      <c r="J165" s="2">
        <v>32.99</v>
      </c>
      <c r="K165" s="2">
        <v>65.98</v>
      </c>
      <c r="L165">
        <v>4</v>
      </c>
      <c r="M165" t="str">
        <f>IF(Table1[[#This Row],[Customer Rating]]&gt;=3,"Good","Average")</f>
        <v>Good</v>
      </c>
    </row>
    <row r="166" spans="1:13" x14ac:dyDescent="0.25">
      <c r="A166" t="s">
        <v>215</v>
      </c>
      <c r="B166" s="4">
        <v>45365</v>
      </c>
      <c r="C166" s="4" t="str">
        <f>TEXT(Table1[[#This Row],[Order Date]],"mmm")</f>
        <v>Mar</v>
      </c>
      <c r="D166" s="4" t="str">
        <f>TEXT(Table1[[#This Row],[Order Date]],"yyyy")</f>
        <v>2024</v>
      </c>
      <c r="E166" t="s">
        <v>45</v>
      </c>
      <c r="F166" t="s">
        <v>12</v>
      </c>
      <c r="G166" t="s">
        <v>69</v>
      </c>
      <c r="H166" t="s">
        <v>67</v>
      </c>
      <c r="I166">
        <v>1</v>
      </c>
      <c r="J166" s="2">
        <v>8.99</v>
      </c>
      <c r="K166" s="2">
        <v>8.99</v>
      </c>
      <c r="L166">
        <v>4</v>
      </c>
      <c r="M166" t="str">
        <f>IF(Table1[[#This Row],[Customer Rating]]&gt;=3,"Good","Average")</f>
        <v>Good</v>
      </c>
    </row>
    <row r="167" spans="1:13" x14ac:dyDescent="0.25">
      <c r="A167" t="s">
        <v>216</v>
      </c>
      <c r="B167" s="4">
        <v>45705</v>
      </c>
      <c r="C167" s="4" t="str">
        <f>TEXT(Table1[[#This Row],[Order Date]],"mmm")</f>
        <v>Feb</v>
      </c>
      <c r="D167" s="4" t="str">
        <f>TEXT(Table1[[#This Row],[Order Date]],"yyyy")</f>
        <v>2025</v>
      </c>
      <c r="E167" t="s">
        <v>45</v>
      </c>
      <c r="F167" t="s">
        <v>17</v>
      </c>
      <c r="G167" t="s">
        <v>69</v>
      </c>
      <c r="H167" t="s">
        <v>67</v>
      </c>
      <c r="I167">
        <v>4</v>
      </c>
      <c r="J167" s="2">
        <v>8.99</v>
      </c>
      <c r="K167" s="2">
        <v>35.96</v>
      </c>
      <c r="L167">
        <v>5</v>
      </c>
      <c r="M167" t="str">
        <f>IF(Table1[[#This Row],[Customer Rating]]&gt;=3,"Good","Average")</f>
        <v>Good</v>
      </c>
    </row>
    <row r="168" spans="1:13" x14ac:dyDescent="0.25">
      <c r="A168" t="s">
        <v>217</v>
      </c>
      <c r="B168" s="4">
        <v>45584</v>
      </c>
      <c r="C168" s="4" t="str">
        <f>TEXT(Table1[[#This Row],[Order Date]],"mmm")</f>
        <v>Oct</v>
      </c>
      <c r="D168" s="4" t="str">
        <f>TEXT(Table1[[#This Row],[Order Date]],"yyyy")</f>
        <v>2024</v>
      </c>
      <c r="E168" t="s">
        <v>16</v>
      </c>
      <c r="F168" t="s">
        <v>29</v>
      </c>
      <c r="G168" t="s">
        <v>52</v>
      </c>
      <c r="H168" t="s">
        <v>19</v>
      </c>
      <c r="I168">
        <v>2</v>
      </c>
      <c r="J168" s="2">
        <v>6.99</v>
      </c>
      <c r="K168" s="2">
        <v>13.98</v>
      </c>
      <c r="L168">
        <v>4</v>
      </c>
      <c r="M168" t="str">
        <f>IF(Table1[[#This Row],[Customer Rating]]&gt;=3,"Good","Average")</f>
        <v>Good</v>
      </c>
    </row>
    <row r="169" spans="1:13" x14ac:dyDescent="0.25">
      <c r="A169" t="s">
        <v>218</v>
      </c>
      <c r="B169" s="4">
        <v>45386</v>
      </c>
      <c r="C169" s="4" t="str">
        <f>TEXT(Table1[[#This Row],[Order Date]],"mmm")</f>
        <v>Apr</v>
      </c>
      <c r="D169" s="4" t="str">
        <f>TEXT(Table1[[#This Row],[Order Date]],"yyyy")</f>
        <v>2024</v>
      </c>
      <c r="E169" t="s">
        <v>45</v>
      </c>
      <c r="F169" t="s">
        <v>17</v>
      </c>
      <c r="G169" t="s">
        <v>13</v>
      </c>
      <c r="H169" t="s">
        <v>14</v>
      </c>
      <c r="I169">
        <v>2</v>
      </c>
      <c r="J169" s="2">
        <v>18.989999999999998</v>
      </c>
      <c r="K169" s="2">
        <v>37.979999999999997</v>
      </c>
      <c r="L169">
        <v>4</v>
      </c>
      <c r="M169" t="str">
        <f>IF(Table1[[#This Row],[Customer Rating]]&gt;=3,"Good","Average")</f>
        <v>Good</v>
      </c>
    </row>
    <row r="170" spans="1:13" x14ac:dyDescent="0.25">
      <c r="A170" t="s">
        <v>219</v>
      </c>
      <c r="B170" s="4">
        <v>45554</v>
      </c>
      <c r="C170" s="4" t="str">
        <f>TEXT(Table1[[#This Row],[Order Date]],"mmm")</f>
        <v>Sep</v>
      </c>
      <c r="D170" s="4" t="str">
        <f>TEXT(Table1[[#This Row],[Order Date]],"yyyy")</f>
        <v>2024</v>
      </c>
      <c r="E170" t="s">
        <v>32</v>
      </c>
      <c r="F170" t="s">
        <v>17</v>
      </c>
      <c r="G170" t="s">
        <v>50</v>
      </c>
      <c r="H170" t="s">
        <v>14</v>
      </c>
      <c r="I170">
        <v>1</v>
      </c>
      <c r="J170" s="2">
        <v>22.99</v>
      </c>
      <c r="K170" s="2">
        <v>22.99</v>
      </c>
      <c r="L170">
        <v>4</v>
      </c>
      <c r="M170" t="str">
        <f>IF(Table1[[#This Row],[Customer Rating]]&gt;=3,"Good","Average")</f>
        <v>Good</v>
      </c>
    </row>
    <row r="171" spans="1:13" x14ac:dyDescent="0.25">
      <c r="A171" t="s">
        <v>220</v>
      </c>
      <c r="B171" s="4">
        <v>45865</v>
      </c>
      <c r="C171" s="4" t="str">
        <f>TEXT(Table1[[#This Row],[Order Date]],"mmm")</f>
        <v>Jul</v>
      </c>
      <c r="D171" s="4" t="str">
        <f>TEXT(Table1[[#This Row],[Order Date]],"yyyy")</f>
        <v>2025</v>
      </c>
      <c r="E171" t="s">
        <v>25</v>
      </c>
      <c r="F171" t="s">
        <v>29</v>
      </c>
      <c r="G171" t="s">
        <v>221</v>
      </c>
      <c r="H171" t="s">
        <v>67</v>
      </c>
      <c r="I171">
        <v>2</v>
      </c>
      <c r="J171" s="2">
        <v>9.99</v>
      </c>
      <c r="K171" s="2">
        <v>19.98</v>
      </c>
      <c r="L171">
        <v>5</v>
      </c>
      <c r="M171" t="str">
        <f>IF(Table1[[#This Row],[Customer Rating]]&gt;=3,"Good","Average")</f>
        <v>Good</v>
      </c>
    </row>
    <row r="172" spans="1:13" x14ac:dyDescent="0.25">
      <c r="A172" t="s">
        <v>222</v>
      </c>
      <c r="B172" s="4">
        <v>45438</v>
      </c>
      <c r="C172" s="4" t="str">
        <f>TEXT(Table1[[#This Row],[Order Date]],"mmm")</f>
        <v>May</v>
      </c>
      <c r="D172" s="4" t="str">
        <f>TEXT(Table1[[#This Row],[Order Date]],"yyyy")</f>
        <v>2024</v>
      </c>
      <c r="E172" t="s">
        <v>97</v>
      </c>
      <c r="F172" t="s">
        <v>29</v>
      </c>
      <c r="G172" t="s">
        <v>30</v>
      </c>
      <c r="H172" t="s">
        <v>19</v>
      </c>
      <c r="I172">
        <v>1</v>
      </c>
      <c r="J172" s="2">
        <v>7.99</v>
      </c>
      <c r="K172" s="2">
        <v>7.99</v>
      </c>
      <c r="L172">
        <v>5</v>
      </c>
      <c r="M172" t="str">
        <f>IF(Table1[[#This Row],[Customer Rating]]&gt;=3,"Good","Average")</f>
        <v>Good</v>
      </c>
    </row>
    <row r="173" spans="1:13" x14ac:dyDescent="0.25">
      <c r="A173" t="s">
        <v>223</v>
      </c>
      <c r="B173" s="4">
        <v>45578</v>
      </c>
      <c r="C173" s="4" t="str">
        <f>TEXT(Table1[[#This Row],[Order Date]],"mmm")</f>
        <v>Oct</v>
      </c>
      <c r="D173" s="4" t="str">
        <f>TEXT(Table1[[#This Row],[Order Date]],"yyyy")</f>
        <v>2024</v>
      </c>
      <c r="E173" t="s">
        <v>11</v>
      </c>
      <c r="F173" t="s">
        <v>29</v>
      </c>
      <c r="G173" t="s">
        <v>112</v>
      </c>
      <c r="H173" t="s">
        <v>19</v>
      </c>
      <c r="I173">
        <v>2</v>
      </c>
      <c r="J173" s="2">
        <v>5.99</v>
      </c>
      <c r="K173" s="2">
        <v>11.98</v>
      </c>
      <c r="L173">
        <v>5</v>
      </c>
      <c r="M173" t="str">
        <f>IF(Table1[[#This Row],[Customer Rating]]&gt;=3,"Good","Average")</f>
        <v>Good</v>
      </c>
    </row>
    <row r="174" spans="1:13" x14ac:dyDescent="0.25">
      <c r="A174" t="s">
        <v>224</v>
      </c>
      <c r="B174" s="4">
        <v>45389</v>
      </c>
      <c r="C174" s="4" t="str">
        <f>TEXT(Table1[[#This Row],[Order Date]],"mmm")</f>
        <v>Apr</v>
      </c>
      <c r="D174" s="4" t="str">
        <f>TEXT(Table1[[#This Row],[Order Date]],"yyyy")</f>
        <v>2024</v>
      </c>
      <c r="E174" t="s">
        <v>25</v>
      </c>
      <c r="F174" t="s">
        <v>29</v>
      </c>
      <c r="G174" t="s">
        <v>55</v>
      </c>
      <c r="H174" t="s">
        <v>23</v>
      </c>
      <c r="I174">
        <v>4</v>
      </c>
      <c r="J174" s="2">
        <v>10.99</v>
      </c>
      <c r="K174" s="2">
        <v>43.96</v>
      </c>
      <c r="L174">
        <v>3</v>
      </c>
      <c r="M174" t="str">
        <f>IF(Table1[[#This Row],[Customer Rating]]&gt;=3,"Good","Average")</f>
        <v>Good</v>
      </c>
    </row>
    <row r="175" spans="1:13" x14ac:dyDescent="0.25">
      <c r="A175" t="s">
        <v>225</v>
      </c>
      <c r="B175" s="4">
        <v>45660</v>
      </c>
      <c r="C175" s="4" t="str">
        <f>TEXT(Table1[[#This Row],[Order Date]],"mmm")</f>
        <v>Jan</v>
      </c>
      <c r="D175" s="4" t="str">
        <f>TEXT(Table1[[#This Row],[Order Date]],"yyyy")</f>
        <v>2025</v>
      </c>
      <c r="E175" t="s">
        <v>38</v>
      </c>
      <c r="F175" t="s">
        <v>12</v>
      </c>
      <c r="G175" t="s">
        <v>36</v>
      </c>
      <c r="H175" t="s">
        <v>14</v>
      </c>
      <c r="I175">
        <v>1</v>
      </c>
      <c r="J175" s="2">
        <v>16.989999999999998</v>
      </c>
      <c r="K175" s="2">
        <v>16.989999999999998</v>
      </c>
      <c r="L175">
        <v>5</v>
      </c>
      <c r="M175" t="str">
        <f>IF(Table1[[#This Row],[Customer Rating]]&gt;=3,"Good","Average")</f>
        <v>Good</v>
      </c>
    </row>
    <row r="176" spans="1:13" x14ac:dyDescent="0.25">
      <c r="A176" t="s">
        <v>226</v>
      </c>
      <c r="B176" s="4">
        <v>45479</v>
      </c>
      <c r="C176" s="4" t="str">
        <f>TEXT(Table1[[#This Row],[Order Date]],"mmm")</f>
        <v>Jul</v>
      </c>
      <c r="D176" s="4" t="str">
        <f>TEXT(Table1[[#This Row],[Order Date]],"yyyy")</f>
        <v>2024</v>
      </c>
      <c r="E176" t="s">
        <v>45</v>
      </c>
      <c r="F176" t="s">
        <v>12</v>
      </c>
      <c r="G176" t="s">
        <v>13</v>
      </c>
      <c r="H176" t="s">
        <v>14</v>
      </c>
      <c r="I176">
        <v>3</v>
      </c>
      <c r="J176" s="2">
        <v>18.989999999999998</v>
      </c>
      <c r="K176" s="2">
        <v>56.97</v>
      </c>
      <c r="L176">
        <v>5</v>
      </c>
      <c r="M176" t="str">
        <f>IF(Table1[[#This Row],[Customer Rating]]&gt;=3,"Good","Average")</f>
        <v>Good</v>
      </c>
    </row>
    <row r="177" spans="1:13" x14ac:dyDescent="0.25">
      <c r="A177" t="s">
        <v>227</v>
      </c>
      <c r="B177" s="4">
        <v>45359</v>
      </c>
      <c r="C177" s="4" t="str">
        <f>TEXT(Table1[[#This Row],[Order Date]],"mmm")</f>
        <v>Mar</v>
      </c>
      <c r="D177" s="4" t="str">
        <f>TEXT(Table1[[#This Row],[Order Date]],"yyyy")</f>
        <v>2024</v>
      </c>
      <c r="E177" t="s">
        <v>28</v>
      </c>
      <c r="F177" t="s">
        <v>12</v>
      </c>
      <c r="G177" t="s">
        <v>50</v>
      </c>
      <c r="H177" t="s">
        <v>14</v>
      </c>
      <c r="I177">
        <v>2</v>
      </c>
      <c r="J177" s="2">
        <v>22.99</v>
      </c>
      <c r="K177" s="2">
        <v>45.98</v>
      </c>
      <c r="L177">
        <v>4</v>
      </c>
      <c r="M177" t="str">
        <f>IF(Table1[[#This Row],[Customer Rating]]&gt;=3,"Good","Average")</f>
        <v>Good</v>
      </c>
    </row>
    <row r="178" spans="1:13" x14ac:dyDescent="0.25">
      <c r="A178" t="s">
        <v>228</v>
      </c>
      <c r="B178" s="4">
        <v>45681</v>
      </c>
      <c r="C178" s="4" t="str">
        <f>TEXT(Table1[[#This Row],[Order Date]],"mmm")</f>
        <v>Jan</v>
      </c>
      <c r="D178" s="4" t="str">
        <f>TEXT(Table1[[#This Row],[Order Date]],"yyyy")</f>
        <v>2025</v>
      </c>
      <c r="E178" t="s">
        <v>28</v>
      </c>
      <c r="F178" t="s">
        <v>29</v>
      </c>
      <c r="G178" t="s">
        <v>66</v>
      </c>
      <c r="H178" t="s">
        <v>67</v>
      </c>
      <c r="I178">
        <v>2</v>
      </c>
      <c r="J178" s="2">
        <v>7.99</v>
      </c>
      <c r="K178" s="2">
        <v>15.98</v>
      </c>
      <c r="L178">
        <v>4</v>
      </c>
      <c r="M178" t="str">
        <f>IF(Table1[[#This Row],[Customer Rating]]&gt;=3,"Good","Average")</f>
        <v>Good</v>
      </c>
    </row>
    <row r="179" spans="1:13" x14ac:dyDescent="0.25">
      <c r="A179" t="s">
        <v>229</v>
      </c>
      <c r="B179" s="4">
        <v>45625</v>
      </c>
      <c r="C179" s="4" t="str">
        <f>TEXT(Table1[[#This Row],[Order Date]],"mmm")</f>
        <v>Nov</v>
      </c>
      <c r="D179" s="4" t="str">
        <f>TEXT(Table1[[#This Row],[Order Date]],"yyyy")</f>
        <v>2024</v>
      </c>
      <c r="E179" t="s">
        <v>11</v>
      </c>
      <c r="F179" t="s">
        <v>29</v>
      </c>
      <c r="G179" t="s">
        <v>52</v>
      </c>
      <c r="H179" t="s">
        <v>19</v>
      </c>
      <c r="I179">
        <v>1</v>
      </c>
      <c r="J179" s="2">
        <v>6.99</v>
      </c>
      <c r="K179" s="2">
        <v>6.99</v>
      </c>
      <c r="L179">
        <v>5</v>
      </c>
      <c r="M179" t="str">
        <f>IF(Table1[[#This Row],[Customer Rating]]&gt;=3,"Good","Average")</f>
        <v>Good</v>
      </c>
    </row>
    <row r="180" spans="1:13" x14ac:dyDescent="0.25">
      <c r="A180" t="s">
        <v>230</v>
      </c>
      <c r="B180" s="4">
        <v>45766</v>
      </c>
      <c r="C180" s="4" t="str">
        <f>TEXT(Table1[[#This Row],[Order Date]],"mmm")</f>
        <v>Apr</v>
      </c>
      <c r="D180" s="4" t="str">
        <f>TEXT(Table1[[#This Row],[Order Date]],"yyyy")</f>
        <v>2025</v>
      </c>
      <c r="E180" t="s">
        <v>38</v>
      </c>
      <c r="F180" t="s">
        <v>29</v>
      </c>
      <c r="G180" t="s">
        <v>36</v>
      </c>
      <c r="H180" t="s">
        <v>14</v>
      </c>
      <c r="I180">
        <v>1</v>
      </c>
      <c r="J180" s="2">
        <v>16.989999999999998</v>
      </c>
      <c r="K180" s="2">
        <v>16.989999999999998</v>
      </c>
      <c r="L180">
        <v>3</v>
      </c>
      <c r="M180" t="str">
        <f>IF(Table1[[#This Row],[Customer Rating]]&gt;=3,"Good","Average")</f>
        <v>Good</v>
      </c>
    </row>
    <row r="181" spans="1:13" x14ac:dyDescent="0.25">
      <c r="A181" t="s">
        <v>231</v>
      </c>
      <c r="B181" s="4">
        <v>45827</v>
      </c>
      <c r="C181" s="4" t="str">
        <f>TEXT(Table1[[#This Row],[Order Date]],"mmm")</f>
        <v>Jun</v>
      </c>
      <c r="D181" s="4" t="str">
        <f>TEXT(Table1[[#This Row],[Order Date]],"yyyy")</f>
        <v>2025</v>
      </c>
      <c r="E181" t="s">
        <v>45</v>
      </c>
      <c r="F181" t="s">
        <v>29</v>
      </c>
      <c r="G181" t="s">
        <v>39</v>
      </c>
      <c r="H181" t="s">
        <v>14</v>
      </c>
      <c r="I181">
        <v>1</v>
      </c>
      <c r="J181" s="2">
        <v>24.99</v>
      </c>
      <c r="K181" s="2">
        <v>24.99</v>
      </c>
      <c r="L181">
        <v>4</v>
      </c>
      <c r="M181" t="str">
        <f>IF(Table1[[#This Row],[Customer Rating]]&gt;=3,"Good","Average")</f>
        <v>Good</v>
      </c>
    </row>
    <row r="182" spans="1:13" x14ac:dyDescent="0.25">
      <c r="A182" t="s">
        <v>232</v>
      </c>
      <c r="B182" s="4">
        <v>45668</v>
      </c>
      <c r="C182" s="4" t="str">
        <f>TEXT(Table1[[#This Row],[Order Date]],"mmm")</f>
        <v>Jan</v>
      </c>
      <c r="D182" s="4" t="str">
        <f>TEXT(Table1[[#This Row],[Order Date]],"yyyy")</f>
        <v>2025</v>
      </c>
      <c r="E182" t="s">
        <v>28</v>
      </c>
      <c r="F182" t="s">
        <v>17</v>
      </c>
      <c r="G182" t="s">
        <v>79</v>
      </c>
      <c r="H182" t="s">
        <v>67</v>
      </c>
      <c r="I182">
        <v>2</v>
      </c>
      <c r="J182" s="2">
        <v>10.99</v>
      </c>
      <c r="K182" s="2">
        <v>21.98</v>
      </c>
      <c r="L182">
        <v>5</v>
      </c>
      <c r="M182" t="str">
        <f>IF(Table1[[#This Row],[Customer Rating]]&gt;=3,"Good","Average")</f>
        <v>Good</v>
      </c>
    </row>
    <row r="183" spans="1:13" x14ac:dyDescent="0.25">
      <c r="A183" t="s">
        <v>233</v>
      </c>
      <c r="B183" s="4">
        <v>45606</v>
      </c>
      <c r="C183" s="4" t="str">
        <f>TEXT(Table1[[#This Row],[Order Date]],"mmm")</f>
        <v>Nov</v>
      </c>
      <c r="D183" s="4" t="str">
        <f>TEXT(Table1[[#This Row],[Order Date]],"yyyy")</f>
        <v>2024</v>
      </c>
      <c r="E183" t="s">
        <v>38</v>
      </c>
      <c r="F183" t="s">
        <v>17</v>
      </c>
      <c r="G183" t="s">
        <v>119</v>
      </c>
      <c r="H183" t="s">
        <v>19</v>
      </c>
      <c r="I183">
        <v>3</v>
      </c>
      <c r="J183" s="2">
        <v>4.99</v>
      </c>
      <c r="K183" s="2">
        <v>14.97</v>
      </c>
      <c r="L183">
        <v>3</v>
      </c>
      <c r="M183" t="str">
        <f>IF(Table1[[#This Row],[Customer Rating]]&gt;=3,"Good","Average")</f>
        <v>Good</v>
      </c>
    </row>
    <row r="184" spans="1:13" x14ac:dyDescent="0.25">
      <c r="A184" t="s">
        <v>234</v>
      </c>
      <c r="B184" s="4">
        <v>45738</v>
      </c>
      <c r="C184" s="4" t="str">
        <f>TEXT(Table1[[#This Row],[Order Date]],"mmm")</f>
        <v>Mar</v>
      </c>
      <c r="D184" s="4" t="str">
        <f>TEXT(Table1[[#This Row],[Order Date]],"yyyy")</f>
        <v>2025</v>
      </c>
      <c r="E184" t="s">
        <v>28</v>
      </c>
      <c r="F184" t="s">
        <v>12</v>
      </c>
      <c r="G184" t="s">
        <v>55</v>
      </c>
      <c r="H184" t="s">
        <v>23</v>
      </c>
      <c r="I184">
        <v>1</v>
      </c>
      <c r="J184" s="2">
        <v>10.99</v>
      </c>
      <c r="K184" s="2">
        <v>10.99</v>
      </c>
      <c r="L184">
        <v>4</v>
      </c>
      <c r="M184" t="str">
        <f>IF(Table1[[#This Row],[Customer Rating]]&gt;=3,"Good","Average")</f>
        <v>Good</v>
      </c>
    </row>
    <row r="185" spans="1:13" x14ac:dyDescent="0.25">
      <c r="A185" t="s">
        <v>235</v>
      </c>
      <c r="B185" s="4">
        <v>45675</v>
      </c>
      <c r="C185" s="4" t="str">
        <f>TEXT(Table1[[#This Row],[Order Date]],"mmm")</f>
        <v>Jan</v>
      </c>
      <c r="D185" s="4" t="str">
        <f>TEXT(Table1[[#This Row],[Order Date]],"yyyy")</f>
        <v>2025</v>
      </c>
      <c r="E185" t="s">
        <v>34</v>
      </c>
      <c r="F185" t="s">
        <v>17</v>
      </c>
      <c r="G185" t="s">
        <v>112</v>
      </c>
      <c r="H185" t="s">
        <v>19</v>
      </c>
      <c r="I185">
        <v>1</v>
      </c>
      <c r="J185" s="2">
        <v>5.99</v>
      </c>
      <c r="K185" s="2">
        <v>5.99</v>
      </c>
      <c r="L185">
        <v>4</v>
      </c>
      <c r="M185" t="str">
        <f>IF(Table1[[#This Row],[Customer Rating]]&gt;=3,"Good","Average")</f>
        <v>Good</v>
      </c>
    </row>
    <row r="186" spans="1:13" x14ac:dyDescent="0.25">
      <c r="A186" t="s">
        <v>236</v>
      </c>
      <c r="B186" s="4">
        <v>45368</v>
      </c>
      <c r="C186" s="4" t="str">
        <f>TEXT(Table1[[#This Row],[Order Date]],"mmm")</f>
        <v>Mar</v>
      </c>
      <c r="D186" s="4" t="str">
        <f>TEXT(Table1[[#This Row],[Order Date]],"yyyy")</f>
        <v>2024</v>
      </c>
      <c r="E186" t="s">
        <v>28</v>
      </c>
      <c r="F186" t="s">
        <v>12</v>
      </c>
      <c r="G186" t="s">
        <v>50</v>
      </c>
      <c r="H186" t="s">
        <v>14</v>
      </c>
      <c r="I186">
        <v>1</v>
      </c>
      <c r="J186" s="2">
        <v>22.99</v>
      </c>
      <c r="K186" s="2">
        <v>22.99</v>
      </c>
      <c r="L186">
        <v>5</v>
      </c>
      <c r="M186" t="str">
        <f>IF(Table1[[#This Row],[Customer Rating]]&gt;=3,"Good","Average")</f>
        <v>Good</v>
      </c>
    </row>
    <row r="187" spans="1:13" x14ac:dyDescent="0.25">
      <c r="A187" t="s">
        <v>237</v>
      </c>
      <c r="B187" s="4">
        <v>45846</v>
      </c>
      <c r="C187" s="4" t="str">
        <f>TEXT(Table1[[#This Row],[Order Date]],"mmm")</f>
        <v>Jul</v>
      </c>
      <c r="D187" s="4" t="str">
        <f>TEXT(Table1[[#This Row],[Order Date]],"yyyy")</f>
        <v>2025</v>
      </c>
      <c r="E187" t="s">
        <v>45</v>
      </c>
      <c r="F187" t="s">
        <v>17</v>
      </c>
      <c r="G187" t="s">
        <v>83</v>
      </c>
      <c r="H187" t="s">
        <v>14</v>
      </c>
      <c r="I187">
        <v>2</v>
      </c>
      <c r="J187" s="2">
        <v>17.989999999999998</v>
      </c>
      <c r="K187" s="2">
        <v>35.979999999999997</v>
      </c>
      <c r="L187">
        <v>4</v>
      </c>
      <c r="M187" t="str">
        <f>IF(Table1[[#This Row],[Customer Rating]]&gt;=3,"Good","Average")</f>
        <v>Good</v>
      </c>
    </row>
    <row r="188" spans="1:13" x14ac:dyDescent="0.25">
      <c r="A188" t="s">
        <v>238</v>
      </c>
      <c r="B188" s="4">
        <v>45905</v>
      </c>
      <c r="C188" s="4" t="str">
        <f>TEXT(Table1[[#This Row],[Order Date]],"mmm")</f>
        <v>Sep</v>
      </c>
      <c r="D188" s="4" t="str">
        <f>TEXT(Table1[[#This Row],[Order Date]],"yyyy")</f>
        <v>2025</v>
      </c>
      <c r="E188" t="s">
        <v>34</v>
      </c>
      <c r="F188" t="s">
        <v>12</v>
      </c>
      <c r="G188" t="s">
        <v>69</v>
      </c>
      <c r="H188" t="s">
        <v>67</v>
      </c>
      <c r="I188">
        <v>4</v>
      </c>
      <c r="J188" s="2">
        <v>8.99</v>
      </c>
      <c r="K188" s="2">
        <v>35.96</v>
      </c>
      <c r="L188">
        <v>3</v>
      </c>
      <c r="M188" t="str">
        <f>IF(Table1[[#This Row],[Customer Rating]]&gt;=3,"Good","Average")</f>
        <v>Good</v>
      </c>
    </row>
    <row r="189" spans="1:13" x14ac:dyDescent="0.25">
      <c r="A189" t="s">
        <v>239</v>
      </c>
      <c r="B189" s="4">
        <v>45507</v>
      </c>
      <c r="C189" s="4" t="str">
        <f>TEXT(Table1[[#This Row],[Order Date]],"mmm")</f>
        <v>Aug</v>
      </c>
      <c r="D189" s="4" t="str">
        <f>TEXT(Table1[[#This Row],[Order Date]],"yyyy")</f>
        <v>2024</v>
      </c>
      <c r="E189" t="s">
        <v>11</v>
      </c>
      <c r="F189" t="s">
        <v>29</v>
      </c>
      <c r="G189" t="s">
        <v>36</v>
      </c>
      <c r="H189" t="s">
        <v>14</v>
      </c>
      <c r="I189">
        <v>1</v>
      </c>
      <c r="J189" s="2">
        <v>16.989999999999998</v>
      </c>
      <c r="K189" s="2">
        <v>16.989999999999998</v>
      </c>
      <c r="L189">
        <v>4</v>
      </c>
      <c r="M189" t="str">
        <f>IF(Table1[[#This Row],[Customer Rating]]&gt;=3,"Good","Average")</f>
        <v>Good</v>
      </c>
    </row>
    <row r="190" spans="1:13" x14ac:dyDescent="0.25">
      <c r="A190" t="s">
        <v>240</v>
      </c>
      <c r="B190" s="4">
        <v>45538</v>
      </c>
      <c r="C190" s="4" t="str">
        <f>TEXT(Table1[[#This Row],[Order Date]],"mmm")</f>
        <v>Sep</v>
      </c>
      <c r="D190" s="4" t="str">
        <f>TEXT(Table1[[#This Row],[Order Date]],"yyyy")</f>
        <v>2024</v>
      </c>
      <c r="E190" t="s">
        <v>32</v>
      </c>
      <c r="F190" t="s">
        <v>29</v>
      </c>
      <c r="G190" t="s">
        <v>36</v>
      </c>
      <c r="H190" t="s">
        <v>14</v>
      </c>
      <c r="I190">
        <v>1</v>
      </c>
      <c r="J190" s="2">
        <v>16.989999999999998</v>
      </c>
      <c r="K190" s="2">
        <v>16.989999999999998</v>
      </c>
      <c r="L190">
        <v>4</v>
      </c>
      <c r="M190" t="str">
        <f>IF(Table1[[#This Row],[Customer Rating]]&gt;=3,"Good","Average")</f>
        <v>Good</v>
      </c>
    </row>
    <row r="191" spans="1:13" x14ac:dyDescent="0.25">
      <c r="A191" t="s">
        <v>241</v>
      </c>
      <c r="B191" s="4">
        <v>45970</v>
      </c>
      <c r="C191" s="4" t="str">
        <f>TEXT(Table1[[#This Row],[Order Date]],"mmm")</f>
        <v>Nov</v>
      </c>
      <c r="D191" s="4" t="str">
        <f>TEXT(Table1[[#This Row],[Order Date]],"yyyy")</f>
        <v>2025</v>
      </c>
      <c r="E191" t="s">
        <v>25</v>
      </c>
      <c r="F191" t="s">
        <v>12</v>
      </c>
      <c r="G191" t="s">
        <v>30</v>
      </c>
      <c r="H191" t="s">
        <v>19</v>
      </c>
      <c r="I191">
        <v>1</v>
      </c>
      <c r="J191" s="2">
        <v>7.99</v>
      </c>
      <c r="K191" s="2">
        <v>7.99</v>
      </c>
      <c r="L191">
        <v>4</v>
      </c>
      <c r="M191" t="str">
        <f>IF(Table1[[#This Row],[Customer Rating]]&gt;=3,"Good","Average")</f>
        <v>Good</v>
      </c>
    </row>
    <row r="192" spans="1:13" x14ac:dyDescent="0.25">
      <c r="A192" t="s">
        <v>242</v>
      </c>
      <c r="B192" s="4">
        <v>45418</v>
      </c>
      <c r="C192" s="4" t="str">
        <f>TEXT(Table1[[#This Row],[Order Date]],"mmm")</f>
        <v>May</v>
      </c>
      <c r="D192" s="4" t="str">
        <f>TEXT(Table1[[#This Row],[Order Date]],"yyyy")</f>
        <v>2024</v>
      </c>
      <c r="E192" t="s">
        <v>97</v>
      </c>
      <c r="F192" t="s">
        <v>29</v>
      </c>
      <c r="G192" t="s">
        <v>36</v>
      </c>
      <c r="H192" t="s">
        <v>14</v>
      </c>
      <c r="I192">
        <v>1</v>
      </c>
      <c r="J192" s="2">
        <v>16.989999999999998</v>
      </c>
      <c r="K192" s="2">
        <v>16.989999999999998</v>
      </c>
      <c r="L192">
        <v>4</v>
      </c>
      <c r="M192" t="str">
        <f>IF(Table1[[#This Row],[Customer Rating]]&gt;=3,"Good","Average")</f>
        <v>Good</v>
      </c>
    </row>
    <row r="193" spans="1:13" x14ac:dyDescent="0.25">
      <c r="A193" t="s">
        <v>243</v>
      </c>
      <c r="B193" s="4">
        <v>45921</v>
      </c>
      <c r="C193" s="4" t="str">
        <f>TEXT(Table1[[#This Row],[Order Date]],"mmm")</f>
        <v>Sep</v>
      </c>
      <c r="D193" s="4" t="str">
        <f>TEXT(Table1[[#This Row],[Order Date]],"yyyy")</f>
        <v>2025</v>
      </c>
      <c r="E193" t="s">
        <v>16</v>
      </c>
      <c r="F193" t="s">
        <v>29</v>
      </c>
      <c r="G193" t="s">
        <v>36</v>
      </c>
      <c r="H193" t="s">
        <v>14</v>
      </c>
      <c r="I193">
        <v>3</v>
      </c>
      <c r="J193" s="2">
        <v>16.989999999999998</v>
      </c>
      <c r="K193" s="2">
        <v>50.97</v>
      </c>
      <c r="L193">
        <v>3</v>
      </c>
      <c r="M193" t="str">
        <f>IF(Table1[[#This Row],[Customer Rating]]&gt;=3,"Good","Average")</f>
        <v>Good</v>
      </c>
    </row>
    <row r="194" spans="1:13" x14ac:dyDescent="0.25">
      <c r="A194" t="s">
        <v>244</v>
      </c>
      <c r="B194" s="4">
        <v>45471</v>
      </c>
      <c r="C194" s="4" t="str">
        <f>TEXT(Table1[[#This Row],[Order Date]],"mmm")</f>
        <v>Jun</v>
      </c>
      <c r="D194" s="4" t="str">
        <f>TEXT(Table1[[#This Row],[Order Date]],"yyyy")</f>
        <v>2024</v>
      </c>
      <c r="E194" t="s">
        <v>25</v>
      </c>
      <c r="F194" t="s">
        <v>29</v>
      </c>
      <c r="G194" t="s">
        <v>142</v>
      </c>
      <c r="H194" t="s">
        <v>23</v>
      </c>
      <c r="I194">
        <v>1</v>
      </c>
      <c r="J194" s="2">
        <v>14.99</v>
      </c>
      <c r="K194" s="2">
        <v>14.99</v>
      </c>
      <c r="L194">
        <v>5</v>
      </c>
      <c r="M194" t="str">
        <f>IF(Table1[[#This Row],[Customer Rating]]&gt;=3,"Good","Average")</f>
        <v>Good</v>
      </c>
    </row>
    <row r="195" spans="1:13" x14ac:dyDescent="0.25">
      <c r="A195" t="s">
        <v>245</v>
      </c>
      <c r="B195" s="4">
        <v>45572</v>
      </c>
      <c r="C195" s="4" t="str">
        <f>TEXT(Table1[[#This Row],[Order Date]],"mmm")</f>
        <v>Oct</v>
      </c>
      <c r="D195" s="4" t="str">
        <f>TEXT(Table1[[#This Row],[Order Date]],"yyyy")</f>
        <v>2024</v>
      </c>
      <c r="E195" t="s">
        <v>34</v>
      </c>
      <c r="F195" t="s">
        <v>29</v>
      </c>
      <c r="G195" t="s">
        <v>119</v>
      </c>
      <c r="H195" t="s">
        <v>19</v>
      </c>
      <c r="I195">
        <v>1</v>
      </c>
      <c r="J195" s="2">
        <v>4.99</v>
      </c>
      <c r="K195" s="2">
        <v>4.99</v>
      </c>
      <c r="L195">
        <v>3</v>
      </c>
      <c r="M195" t="str">
        <f>IF(Table1[[#This Row],[Customer Rating]]&gt;=3,"Good","Average")</f>
        <v>Good</v>
      </c>
    </row>
    <row r="196" spans="1:13" x14ac:dyDescent="0.25">
      <c r="A196" t="s">
        <v>246</v>
      </c>
      <c r="B196" s="4">
        <v>45979</v>
      </c>
      <c r="C196" s="4" t="str">
        <f>TEXT(Table1[[#This Row],[Order Date]],"mmm")</f>
        <v>Nov</v>
      </c>
      <c r="D196" s="4" t="str">
        <f>TEXT(Table1[[#This Row],[Order Date]],"yyyy")</f>
        <v>2025</v>
      </c>
      <c r="E196" t="s">
        <v>25</v>
      </c>
      <c r="F196" t="s">
        <v>17</v>
      </c>
      <c r="G196" t="s">
        <v>13</v>
      </c>
      <c r="H196" t="s">
        <v>14</v>
      </c>
      <c r="I196">
        <v>2</v>
      </c>
      <c r="J196" s="2">
        <v>18.989999999999998</v>
      </c>
      <c r="K196" s="2">
        <v>37.979999999999997</v>
      </c>
      <c r="L196">
        <v>4</v>
      </c>
      <c r="M196" t="str">
        <f>IF(Table1[[#This Row],[Customer Rating]]&gt;=3,"Good","Average")</f>
        <v>Good</v>
      </c>
    </row>
    <row r="197" spans="1:13" x14ac:dyDescent="0.25">
      <c r="A197" t="s">
        <v>247</v>
      </c>
      <c r="B197" s="4">
        <v>45825</v>
      </c>
      <c r="C197" s="4" t="str">
        <f>TEXT(Table1[[#This Row],[Order Date]],"mmm")</f>
        <v>Jun</v>
      </c>
      <c r="D197" s="4" t="str">
        <f>TEXT(Table1[[#This Row],[Order Date]],"yyyy")</f>
        <v>2025</v>
      </c>
      <c r="E197" t="s">
        <v>38</v>
      </c>
      <c r="F197" t="s">
        <v>12</v>
      </c>
      <c r="G197" t="s">
        <v>66</v>
      </c>
      <c r="H197" t="s">
        <v>67</v>
      </c>
      <c r="I197">
        <v>3</v>
      </c>
      <c r="J197" s="2">
        <v>7.99</v>
      </c>
      <c r="K197" s="2">
        <v>23.97</v>
      </c>
      <c r="L197">
        <v>4</v>
      </c>
      <c r="M197" t="str">
        <f>IF(Table1[[#This Row],[Customer Rating]]&gt;=3,"Good","Average")</f>
        <v>Good</v>
      </c>
    </row>
    <row r="198" spans="1:13" x14ac:dyDescent="0.25">
      <c r="A198" t="s">
        <v>248</v>
      </c>
      <c r="B198" s="4">
        <v>45451</v>
      </c>
      <c r="C198" s="4" t="str">
        <f>TEXT(Table1[[#This Row],[Order Date]],"mmm")</f>
        <v>Jun</v>
      </c>
      <c r="D198" s="4" t="str">
        <f>TEXT(Table1[[#This Row],[Order Date]],"yyyy")</f>
        <v>2024</v>
      </c>
      <c r="E198" t="s">
        <v>45</v>
      </c>
      <c r="F198" t="s">
        <v>12</v>
      </c>
      <c r="G198" t="s">
        <v>142</v>
      </c>
      <c r="H198" t="s">
        <v>23</v>
      </c>
      <c r="I198">
        <v>2</v>
      </c>
      <c r="J198" s="2">
        <v>14.99</v>
      </c>
      <c r="K198" s="2">
        <v>29.98</v>
      </c>
      <c r="L198">
        <v>2</v>
      </c>
      <c r="M198" t="str">
        <f>IF(Table1[[#This Row],[Customer Rating]]&gt;=3,"Good","Average")</f>
        <v>Average</v>
      </c>
    </row>
    <row r="199" spans="1:13" x14ac:dyDescent="0.25">
      <c r="A199" t="s">
        <v>249</v>
      </c>
      <c r="B199" s="4">
        <v>45617</v>
      </c>
      <c r="C199" s="4" t="str">
        <f>TEXT(Table1[[#This Row],[Order Date]],"mmm")</f>
        <v>Nov</v>
      </c>
      <c r="D199" s="4" t="str">
        <f>TEXT(Table1[[#This Row],[Order Date]],"yyyy")</f>
        <v>2024</v>
      </c>
      <c r="E199" t="s">
        <v>21</v>
      </c>
      <c r="F199" t="s">
        <v>29</v>
      </c>
      <c r="G199" t="s">
        <v>52</v>
      </c>
      <c r="H199" t="s">
        <v>19</v>
      </c>
      <c r="I199">
        <v>4</v>
      </c>
      <c r="J199" s="2">
        <v>6.99</v>
      </c>
      <c r="K199" s="2">
        <v>27.96</v>
      </c>
      <c r="L199">
        <v>3</v>
      </c>
      <c r="M199" t="str">
        <f>IF(Table1[[#This Row],[Customer Rating]]&gt;=3,"Good","Average")</f>
        <v>Good</v>
      </c>
    </row>
    <row r="200" spans="1:13" x14ac:dyDescent="0.25">
      <c r="A200" t="s">
        <v>250</v>
      </c>
      <c r="B200" s="4">
        <v>45659</v>
      </c>
      <c r="C200" s="4" t="str">
        <f>TEXT(Table1[[#This Row],[Order Date]],"mmm")</f>
        <v>Jan</v>
      </c>
      <c r="D200" s="4" t="str">
        <f>TEXT(Table1[[#This Row],[Order Date]],"yyyy")</f>
        <v>2025</v>
      </c>
      <c r="E200" t="s">
        <v>25</v>
      </c>
      <c r="F200" t="s">
        <v>17</v>
      </c>
      <c r="G200" t="s">
        <v>39</v>
      </c>
      <c r="H200" t="s">
        <v>14</v>
      </c>
      <c r="I200">
        <v>1</v>
      </c>
      <c r="J200" s="2">
        <v>24.99</v>
      </c>
      <c r="K200" s="2">
        <v>24.99</v>
      </c>
      <c r="L200">
        <v>4</v>
      </c>
      <c r="M200" t="str">
        <f>IF(Table1[[#This Row],[Customer Rating]]&gt;=3,"Good","Average")</f>
        <v>Good</v>
      </c>
    </row>
    <row r="201" spans="1:13" x14ac:dyDescent="0.25">
      <c r="A201" t="s">
        <v>251</v>
      </c>
      <c r="B201" s="4">
        <v>45520</v>
      </c>
      <c r="C201" s="4" t="str">
        <f>TEXT(Table1[[#This Row],[Order Date]],"mmm")</f>
        <v>Aug</v>
      </c>
      <c r="D201" s="4" t="str">
        <f>TEXT(Table1[[#This Row],[Order Date]],"yyyy")</f>
        <v>2024</v>
      </c>
      <c r="E201" t="s">
        <v>11</v>
      </c>
      <c r="F201" t="s">
        <v>29</v>
      </c>
      <c r="G201" t="s">
        <v>46</v>
      </c>
      <c r="H201" t="s">
        <v>14</v>
      </c>
      <c r="I201">
        <v>1</v>
      </c>
      <c r="J201" s="2">
        <v>32.99</v>
      </c>
      <c r="K201" s="2">
        <v>32.99</v>
      </c>
      <c r="L201">
        <v>5</v>
      </c>
      <c r="M201" t="str">
        <f>IF(Table1[[#This Row],[Customer Rating]]&gt;=3,"Good","Average")</f>
        <v>Good</v>
      </c>
    </row>
    <row r="202" spans="1:13" x14ac:dyDescent="0.25">
      <c r="A202" t="s">
        <v>252</v>
      </c>
      <c r="B202" s="4">
        <v>45625</v>
      </c>
      <c r="C202" s="4" t="str">
        <f>TEXT(Table1[[#This Row],[Order Date]],"mmm")</f>
        <v>Nov</v>
      </c>
      <c r="D202" s="4" t="str">
        <f>TEXT(Table1[[#This Row],[Order Date]],"yyyy")</f>
        <v>2024</v>
      </c>
      <c r="E202" t="s">
        <v>28</v>
      </c>
      <c r="F202" t="s">
        <v>29</v>
      </c>
      <c r="G202" t="s">
        <v>13</v>
      </c>
      <c r="H202" t="s">
        <v>14</v>
      </c>
      <c r="I202">
        <v>1</v>
      </c>
      <c r="J202" s="2">
        <v>18.989999999999998</v>
      </c>
      <c r="K202" s="2">
        <v>18.989999999999998</v>
      </c>
      <c r="L202">
        <v>4</v>
      </c>
      <c r="M202" t="str">
        <f>IF(Table1[[#This Row],[Customer Rating]]&gt;=3,"Good","Average")</f>
        <v>Good</v>
      </c>
    </row>
    <row r="203" spans="1:13" x14ac:dyDescent="0.25">
      <c r="A203" t="s">
        <v>253</v>
      </c>
      <c r="B203" s="4">
        <v>45817</v>
      </c>
      <c r="C203" s="4" t="str">
        <f>TEXT(Table1[[#This Row],[Order Date]],"mmm")</f>
        <v>Jun</v>
      </c>
      <c r="D203" s="4" t="str">
        <f>TEXT(Table1[[#This Row],[Order Date]],"yyyy")</f>
        <v>2025</v>
      </c>
      <c r="E203" t="s">
        <v>16</v>
      </c>
      <c r="F203" t="s">
        <v>29</v>
      </c>
      <c r="G203" t="s">
        <v>30</v>
      </c>
      <c r="H203" t="s">
        <v>19</v>
      </c>
      <c r="I203">
        <v>2</v>
      </c>
      <c r="J203" s="2">
        <v>7.99</v>
      </c>
      <c r="K203" s="2">
        <v>15.98</v>
      </c>
      <c r="L203">
        <v>4</v>
      </c>
      <c r="M203" t="str">
        <f>IF(Table1[[#This Row],[Customer Rating]]&gt;=3,"Good","Average")</f>
        <v>Good</v>
      </c>
    </row>
    <row r="204" spans="1:13" x14ac:dyDescent="0.25">
      <c r="A204" t="s">
        <v>254</v>
      </c>
      <c r="B204" s="4">
        <v>45423</v>
      </c>
      <c r="C204" s="4" t="str">
        <f>TEXT(Table1[[#This Row],[Order Date]],"mmm")</f>
        <v>May</v>
      </c>
      <c r="D204" s="4" t="str">
        <f>TEXT(Table1[[#This Row],[Order Date]],"yyyy")</f>
        <v>2024</v>
      </c>
      <c r="E204" t="s">
        <v>16</v>
      </c>
      <c r="F204" t="s">
        <v>12</v>
      </c>
      <c r="G204" t="s">
        <v>36</v>
      </c>
      <c r="H204" t="s">
        <v>14</v>
      </c>
      <c r="I204">
        <v>1</v>
      </c>
      <c r="J204" s="2">
        <v>16.989999999999998</v>
      </c>
      <c r="K204" s="2">
        <v>16.989999999999998</v>
      </c>
      <c r="L204">
        <v>4</v>
      </c>
      <c r="M204" t="str">
        <f>IF(Table1[[#This Row],[Customer Rating]]&gt;=3,"Good","Average")</f>
        <v>Good</v>
      </c>
    </row>
    <row r="205" spans="1:13" x14ac:dyDescent="0.25">
      <c r="A205" t="s">
        <v>255</v>
      </c>
      <c r="B205" s="4">
        <v>45625</v>
      </c>
      <c r="C205" s="4" t="str">
        <f>TEXT(Table1[[#This Row],[Order Date]],"mmm")</f>
        <v>Nov</v>
      </c>
      <c r="D205" s="4" t="str">
        <f>TEXT(Table1[[#This Row],[Order Date]],"yyyy")</f>
        <v>2024</v>
      </c>
      <c r="E205" t="s">
        <v>32</v>
      </c>
      <c r="F205" t="s">
        <v>12</v>
      </c>
      <c r="G205" t="s">
        <v>66</v>
      </c>
      <c r="H205" t="s">
        <v>67</v>
      </c>
      <c r="I205">
        <v>1</v>
      </c>
      <c r="J205" s="2">
        <v>7.99</v>
      </c>
      <c r="K205" s="2">
        <v>7.99</v>
      </c>
      <c r="L205">
        <v>5</v>
      </c>
      <c r="M205" t="str">
        <f>IF(Table1[[#This Row],[Customer Rating]]&gt;=3,"Good","Average")</f>
        <v>Good</v>
      </c>
    </row>
    <row r="206" spans="1:13" x14ac:dyDescent="0.25">
      <c r="A206" t="s">
        <v>256</v>
      </c>
      <c r="B206" s="4">
        <v>45466</v>
      </c>
      <c r="C206" s="4" t="str">
        <f>TEXT(Table1[[#This Row],[Order Date]],"mmm")</f>
        <v>Jun</v>
      </c>
      <c r="D206" s="4" t="str">
        <f>TEXT(Table1[[#This Row],[Order Date]],"yyyy")</f>
        <v>2024</v>
      </c>
      <c r="E206" t="s">
        <v>32</v>
      </c>
      <c r="F206" t="s">
        <v>29</v>
      </c>
      <c r="G206" t="s">
        <v>36</v>
      </c>
      <c r="H206" t="s">
        <v>14</v>
      </c>
      <c r="I206">
        <v>1</v>
      </c>
      <c r="J206" s="2">
        <v>16.989999999999998</v>
      </c>
      <c r="K206" s="2">
        <v>16.989999999999998</v>
      </c>
      <c r="L206">
        <v>5</v>
      </c>
      <c r="M206" t="str">
        <f>IF(Table1[[#This Row],[Customer Rating]]&gt;=3,"Good","Average")</f>
        <v>Good</v>
      </c>
    </row>
    <row r="207" spans="1:13" x14ac:dyDescent="0.25">
      <c r="A207" t="s">
        <v>257</v>
      </c>
      <c r="B207" s="4">
        <v>45978</v>
      </c>
      <c r="C207" s="4" t="str">
        <f>TEXT(Table1[[#This Row],[Order Date]],"mmm")</f>
        <v>Nov</v>
      </c>
      <c r="D207" s="4" t="str">
        <f>TEXT(Table1[[#This Row],[Order Date]],"yyyy")</f>
        <v>2025</v>
      </c>
      <c r="E207" t="s">
        <v>34</v>
      </c>
      <c r="F207" t="s">
        <v>17</v>
      </c>
      <c r="G207" t="s">
        <v>66</v>
      </c>
      <c r="H207" t="s">
        <v>67</v>
      </c>
      <c r="I207">
        <v>1</v>
      </c>
      <c r="J207" s="2">
        <v>7.99</v>
      </c>
      <c r="K207" s="2">
        <v>7.99</v>
      </c>
      <c r="L207">
        <v>1</v>
      </c>
      <c r="M207" t="str">
        <f>IF(Table1[[#This Row],[Customer Rating]]&gt;=3,"Good","Average")</f>
        <v>Average</v>
      </c>
    </row>
    <row r="208" spans="1:13" x14ac:dyDescent="0.25">
      <c r="A208" t="s">
        <v>258</v>
      </c>
      <c r="B208" s="4">
        <v>45721</v>
      </c>
      <c r="C208" s="4" t="str">
        <f>TEXT(Table1[[#This Row],[Order Date]],"mmm")</f>
        <v>Mar</v>
      </c>
      <c r="D208" s="4" t="str">
        <f>TEXT(Table1[[#This Row],[Order Date]],"yyyy")</f>
        <v>2025</v>
      </c>
      <c r="E208" t="s">
        <v>45</v>
      </c>
      <c r="F208" t="s">
        <v>29</v>
      </c>
      <c r="G208" t="s">
        <v>22</v>
      </c>
      <c r="H208" t="s">
        <v>23</v>
      </c>
      <c r="I208">
        <v>1</v>
      </c>
      <c r="J208" s="2">
        <v>8.99</v>
      </c>
      <c r="K208" s="2">
        <v>8.99</v>
      </c>
      <c r="L208">
        <v>5</v>
      </c>
      <c r="M208" t="str">
        <f>IF(Table1[[#This Row],[Customer Rating]]&gt;=3,"Good","Average")</f>
        <v>Good</v>
      </c>
    </row>
    <row r="209" spans="1:13" x14ac:dyDescent="0.25">
      <c r="A209" t="s">
        <v>259</v>
      </c>
      <c r="B209" s="4">
        <v>45975</v>
      </c>
      <c r="C209" s="4" t="str">
        <f>TEXT(Table1[[#This Row],[Order Date]],"mmm")</f>
        <v>Nov</v>
      </c>
      <c r="D209" s="4" t="str">
        <f>TEXT(Table1[[#This Row],[Order Date]],"yyyy")</f>
        <v>2025</v>
      </c>
      <c r="E209" t="s">
        <v>21</v>
      </c>
      <c r="F209" t="s">
        <v>29</v>
      </c>
      <c r="G209" t="s">
        <v>62</v>
      </c>
      <c r="H209" t="s">
        <v>23</v>
      </c>
      <c r="I209">
        <v>2</v>
      </c>
      <c r="J209" s="2">
        <v>9.99</v>
      </c>
      <c r="K209" s="2">
        <v>19.98</v>
      </c>
      <c r="L209">
        <v>5</v>
      </c>
      <c r="M209" t="str">
        <f>IF(Table1[[#This Row],[Customer Rating]]&gt;=3,"Good","Average")</f>
        <v>Good</v>
      </c>
    </row>
    <row r="210" spans="1:13" x14ac:dyDescent="0.25">
      <c r="A210" t="s">
        <v>260</v>
      </c>
      <c r="B210" s="4">
        <v>45543</v>
      </c>
      <c r="C210" s="4" t="str">
        <f>TEXT(Table1[[#This Row],[Order Date]],"mmm")</f>
        <v>Sep</v>
      </c>
      <c r="D210" s="4" t="str">
        <f>TEXT(Table1[[#This Row],[Order Date]],"yyyy")</f>
        <v>2024</v>
      </c>
      <c r="E210" t="s">
        <v>21</v>
      </c>
      <c r="F210" t="s">
        <v>12</v>
      </c>
      <c r="G210" t="s">
        <v>36</v>
      </c>
      <c r="H210" t="s">
        <v>14</v>
      </c>
      <c r="I210">
        <v>1</v>
      </c>
      <c r="J210" s="2">
        <v>16.989999999999998</v>
      </c>
      <c r="K210" s="2">
        <v>16.989999999999998</v>
      </c>
      <c r="L210">
        <v>5</v>
      </c>
      <c r="M210" t="str">
        <f>IF(Table1[[#This Row],[Customer Rating]]&gt;=3,"Good","Average")</f>
        <v>Good</v>
      </c>
    </row>
    <row r="211" spans="1:13" x14ac:dyDescent="0.25">
      <c r="A211" t="s">
        <v>261</v>
      </c>
      <c r="B211" s="4">
        <v>45367</v>
      </c>
      <c r="C211" s="4" t="str">
        <f>TEXT(Table1[[#This Row],[Order Date]],"mmm")</f>
        <v>Mar</v>
      </c>
      <c r="D211" s="4" t="str">
        <f>TEXT(Table1[[#This Row],[Order Date]],"yyyy")</f>
        <v>2024</v>
      </c>
      <c r="E211" t="s">
        <v>38</v>
      </c>
      <c r="F211" t="s">
        <v>17</v>
      </c>
      <c r="G211" t="s">
        <v>18</v>
      </c>
      <c r="H211" t="s">
        <v>19</v>
      </c>
      <c r="I211">
        <v>1</v>
      </c>
      <c r="J211" s="2">
        <v>9.99</v>
      </c>
      <c r="K211" s="2">
        <v>9.99</v>
      </c>
      <c r="L211">
        <v>4</v>
      </c>
      <c r="M211" t="str">
        <f>IF(Table1[[#This Row],[Customer Rating]]&gt;=3,"Good","Average")</f>
        <v>Good</v>
      </c>
    </row>
    <row r="212" spans="1:13" x14ac:dyDescent="0.25">
      <c r="A212" t="s">
        <v>262</v>
      </c>
      <c r="B212" s="4">
        <v>45463</v>
      </c>
      <c r="C212" s="4" t="str">
        <f>TEXT(Table1[[#This Row],[Order Date]],"mmm")</f>
        <v>Jun</v>
      </c>
      <c r="D212" s="4" t="str">
        <f>TEXT(Table1[[#This Row],[Order Date]],"yyyy")</f>
        <v>2024</v>
      </c>
      <c r="E212" t="s">
        <v>97</v>
      </c>
      <c r="F212" t="s">
        <v>12</v>
      </c>
      <c r="G212" t="s">
        <v>26</v>
      </c>
      <c r="H212" t="s">
        <v>19</v>
      </c>
      <c r="I212">
        <v>2</v>
      </c>
      <c r="J212" s="2">
        <v>3.49</v>
      </c>
      <c r="K212" s="2">
        <v>6.98</v>
      </c>
      <c r="L212">
        <v>5</v>
      </c>
      <c r="M212" t="str">
        <f>IF(Table1[[#This Row],[Customer Rating]]&gt;=3,"Good","Average")</f>
        <v>Good</v>
      </c>
    </row>
    <row r="213" spans="1:13" x14ac:dyDescent="0.25">
      <c r="A213" t="s">
        <v>263</v>
      </c>
      <c r="B213" s="4">
        <v>45956</v>
      </c>
      <c r="C213" s="4" t="str">
        <f>TEXT(Table1[[#This Row],[Order Date]],"mmm")</f>
        <v>Oct</v>
      </c>
      <c r="D213" s="4" t="str">
        <f>TEXT(Table1[[#This Row],[Order Date]],"yyyy")</f>
        <v>2025</v>
      </c>
      <c r="E213" t="s">
        <v>34</v>
      </c>
      <c r="F213" t="s">
        <v>12</v>
      </c>
      <c r="G213" t="s">
        <v>46</v>
      </c>
      <c r="H213" t="s">
        <v>14</v>
      </c>
      <c r="I213">
        <v>2</v>
      </c>
      <c r="J213" s="2">
        <v>32.99</v>
      </c>
      <c r="K213" s="2">
        <v>65.98</v>
      </c>
      <c r="L213">
        <v>4</v>
      </c>
      <c r="M213" t="str">
        <f>IF(Table1[[#This Row],[Customer Rating]]&gt;=3,"Good","Average")</f>
        <v>Good</v>
      </c>
    </row>
    <row r="214" spans="1:13" x14ac:dyDescent="0.25">
      <c r="A214" t="s">
        <v>264</v>
      </c>
      <c r="B214" s="4">
        <v>45306</v>
      </c>
      <c r="C214" s="4" t="str">
        <f>TEXT(Table1[[#This Row],[Order Date]],"mmm")</f>
        <v>Jan</v>
      </c>
      <c r="D214" s="4" t="str">
        <f>TEXT(Table1[[#This Row],[Order Date]],"yyyy")</f>
        <v>2024</v>
      </c>
      <c r="E214" t="s">
        <v>28</v>
      </c>
      <c r="F214" t="s">
        <v>12</v>
      </c>
      <c r="G214" t="s">
        <v>39</v>
      </c>
      <c r="H214" t="s">
        <v>14</v>
      </c>
      <c r="I214">
        <v>1</v>
      </c>
      <c r="J214" s="2">
        <v>24.99</v>
      </c>
      <c r="K214" s="2">
        <v>24.99</v>
      </c>
      <c r="L214">
        <v>3</v>
      </c>
      <c r="M214" t="str">
        <f>IF(Table1[[#This Row],[Customer Rating]]&gt;=3,"Good","Average")</f>
        <v>Good</v>
      </c>
    </row>
    <row r="215" spans="1:13" x14ac:dyDescent="0.25">
      <c r="A215" t="s">
        <v>265</v>
      </c>
      <c r="B215" s="4">
        <v>45960</v>
      </c>
      <c r="C215" s="4" t="str">
        <f>TEXT(Table1[[#This Row],[Order Date]],"mmm")</f>
        <v>Oct</v>
      </c>
      <c r="D215" s="4" t="str">
        <f>TEXT(Table1[[#This Row],[Order Date]],"yyyy")</f>
        <v>2025</v>
      </c>
      <c r="E215" t="s">
        <v>34</v>
      </c>
      <c r="F215" t="s">
        <v>17</v>
      </c>
      <c r="G215" t="s">
        <v>69</v>
      </c>
      <c r="H215" t="s">
        <v>67</v>
      </c>
      <c r="I215">
        <v>1</v>
      </c>
      <c r="J215" s="2">
        <v>8.99</v>
      </c>
      <c r="K215" s="2">
        <v>8.99</v>
      </c>
      <c r="L215">
        <v>4</v>
      </c>
      <c r="M215" t="str">
        <f>IF(Table1[[#This Row],[Customer Rating]]&gt;=3,"Good","Average")</f>
        <v>Good</v>
      </c>
    </row>
    <row r="216" spans="1:13" x14ac:dyDescent="0.25">
      <c r="A216" t="s">
        <v>266</v>
      </c>
      <c r="B216" s="4">
        <v>45370</v>
      </c>
      <c r="C216" s="4" t="str">
        <f>TEXT(Table1[[#This Row],[Order Date]],"mmm")</f>
        <v>Mar</v>
      </c>
      <c r="D216" s="4" t="str">
        <f>TEXT(Table1[[#This Row],[Order Date]],"yyyy")</f>
        <v>2024</v>
      </c>
      <c r="E216" t="s">
        <v>11</v>
      </c>
      <c r="F216" t="s">
        <v>12</v>
      </c>
      <c r="G216" t="s">
        <v>18</v>
      </c>
      <c r="H216" t="s">
        <v>19</v>
      </c>
      <c r="I216">
        <v>2</v>
      </c>
      <c r="J216" s="2">
        <v>9.99</v>
      </c>
      <c r="K216" s="2">
        <v>19.98</v>
      </c>
      <c r="L216">
        <v>4</v>
      </c>
      <c r="M216" t="str">
        <f>IF(Table1[[#This Row],[Customer Rating]]&gt;=3,"Good","Average")</f>
        <v>Good</v>
      </c>
    </row>
    <row r="217" spans="1:13" x14ac:dyDescent="0.25">
      <c r="A217" t="s">
        <v>267</v>
      </c>
      <c r="B217" s="4">
        <v>45652</v>
      </c>
      <c r="C217" s="4" t="str">
        <f>TEXT(Table1[[#This Row],[Order Date]],"mmm")</f>
        <v>Dec</v>
      </c>
      <c r="D217" s="4" t="str">
        <f>TEXT(Table1[[#This Row],[Order Date]],"yyyy")</f>
        <v>2024</v>
      </c>
      <c r="E217" t="s">
        <v>28</v>
      </c>
      <c r="F217" t="s">
        <v>17</v>
      </c>
      <c r="G217" t="s">
        <v>119</v>
      </c>
      <c r="H217" t="s">
        <v>19</v>
      </c>
      <c r="I217">
        <v>1</v>
      </c>
      <c r="J217" s="2">
        <v>4.99</v>
      </c>
      <c r="K217" s="2">
        <v>4.99</v>
      </c>
      <c r="L217">
        <v>4</v>
      </c>
      <c r="M217" t="str">
        <f>IF(Table1[[#This Row],[Customer Rating]]&gt;=3,"Good","Average")</f>
        <v>Good</v>
      </c>
    </row>
    <row r="218" spans="1:13" x14ac:dyDescent="0.25">
      <c r="A218" t="s">
        <v>268</v>
      </c>
      <c r="B218" s="4">
        <v>45976</v>
      </c>
      <c r="C218" s="4" t="str">
        <f>TEXT(Table1[[#This Row],[Order Date]],"mmm")</f>
        <v>Nov</v>
      </c>
      <c r="D218" s="4" t="str">
        <f>TEXT(Table1[[#This Row],[Order Date]],"yyyy")</f>
        <v>2025</v>
      </c>
      <c r="E218" t="s">
        <v>97</v>
      </c>
      <c r="F218" t="s">
        <v>17</v>
      </c>
      <c r="G218" t="s">
        <v>22</v>
      </c>
      <c r="H218" t="s">
        <v>23</v>
      </c>
      <c r="I218">
        <v>2</v>
      </c>
      <c r="J218" s="2">
        <v>8.99</v>
      </c>
      <c r="K218" s="2">
        <v>17.98</v>
      </c>
      <c r="L218">
        <v>4</v>
      </c>
      <c r="M218" t="str">
        <f>IF(Table1[[#This Row],[Customer Rating]]&gt;=3,"Good","Average")</f>
        <v>Good</v>
      </c>
    </row>
    <row r="219" spans="1:13" x14ac:dyDescent="0.25">
      <c r="A219" t="s">
        <v>269</v>
      </c>
      <c r="B219" s="4">
        <v>45849</v>
      </c>
      <c r="C219" s="4" t="str">
        <f>TEXT(Table1[[#This Row],[Order Date]],"mmm")</f>
        <v>Jul</v>
      </c>
      <c r="D219" s="4" t="str">
        <f>TEXT(Table1[[#This Row],[Order Date]],"yyyy")</f>
        <v>2025</v>
      </c>
      <c r="E219" t="s">
        <v>45</v>
      </c>
      <c r="F219" t="s">
        <v>29</v>
      </c>
      <c r="G219" t="s">
        <v>83</v>
      </c>
      <c r="H219" t="s">
        <v>14</v>
      </c>
      <c r="I219">
        <v>2</v>
      </c>
      <c r="J219" s="2">
        <v>17.989999999999998</v>
      </c>
      <c r="K219" s="2">
        <v>35.979999999999997</v>
      </c>
      <c r="L219">
        <v>3</v>
      </c>
      <c r="M219" t="str">
        <f>IF(Table1[[#This Row],[Customer Rating]]&gt;=3,"Good","Average")</f>
        <v>Good</v>
      </c>
    </row>
    <row r="220" spans="1:13" x14ac:dyDescent="0.25">
      <c r="A220" t="s">
        <v>270</v>
      </c>
      <c r="B220" s="4">
        <v>45713</v>
      </c>
      <c r="C220" s="4" t="str">
        <f>TEXT(Table1[[#This Row],[Order Date]],"mmm")</f>
        <v>Feb</v>
      </c>
      <c r="D220" s="4" t="str">
        <f>TEXT(Table1[[#This Row],[Order Date]],"yyyy")</f>
        <v>2025</v>
      </c>
      <c r="E220" t="s">
        <v>16</v>
      </c>
      <c r="F220" t="s">
        <v>12</v>
      </c>
      <c r="G220" t="s">
        <v>112</v>
      </c>
      <c r="H220" t="s">
        <v>19</v>
      </c>
      <c r="I220">
        <v>1</v>
      </c>
      <c r="J220" s="2">
        <v>5.99</v>
      </c>
      <c r="K220" s="2">
        <v>5.99</v>
      </c>
      <c r="L220">
        <v>4</v>
      </c>
      <c r="M220" t="str">
        <f>IF(Table1[[#This Row],[Customer Rating]]&gt;=3,"Good","Average")</f>
        <v>Good</v>
      </c>
    </row>
    <row r="221" spans="1:13" x14ac:dyDescent="0.25">
      <c r="A221" t="s">
        <v>271</v>
      </c>
      <c r="B221" s="4">
        <v>45584</v>
      </c>
      <c r="C221" s="4" t="str">
        <f>TEXT(Table1[[#This Row],[Order Date]],"mmm")</f>
        <v>Oct</v>
      </c>
      <c r="D221" s="4" t="str">
        <f>TEXT(Table1[[#This Row],[Order Date]],"yyyy")</f>
        <v>2024</v>
      </c>
      <c r="E221" t="s">
        <v>25</v>
      </c>
      <c r="F221" t="s">
        <v>17</v>
      </c>
      <c r="G221" t="s">
        <v>50</v>
      </c>
      <c r="H221" t="s">
        <v>14</v>
      </c>
      <c r="I221">
        <v>2</v>
      </c>
      <c r="J221" s="2">
        <v>22.99</v>
      </c>
      <c r="K221" s="2">
        <v>45.98</v>
      </c>
      <c r="L221">
        <v>4</v>
      </c>
      <c r="M221" t="str">
        <f>IF(Table1[[#This Row],[Customer Rating]]&gt;=3,"Good","Average")</f>
        <v>Good</v>
      </c>
    </row>
    <row r="222" spans="1:13" x14ac:dyDescent="0.25">
      <c r="A222" t="s">
        <v>272</v>
      </c>
      <c r="B222" s="4">
        <v>45803</v>
      </c>
      <c r="C222" s="4" t="str">
        <f>TEXT(Table1[[#This Row],[Order Date]],"mmm")</f>
        <v>May</v>
      </c>
      <c r="D222" s="4" t="str">
        <f>TEXT(Table1[[#This Row],[Order Date]],"yyyy")</f>
        <v>2025</v>
      </c>
      <c r="E222" t="s">
        <v>25</v>
      </c>
      <c r="F222" t="s">
        <v>29</v>
      </c>
      <c r="G222" t="s">
        <v>55</v>
      </c>
      <c r="H222" t="s">
        <v>23</v>
      </c>
      <c r="I222">
        <v>4</v>
      </c>
      <c r="J222" s="2">
        <v>10.99</v>
      </c>
      <c r="K222" s="2">
        <v>43.96</v>
      </c>
      <c r="L222">
        <v>5</v>
      </c>
      <c r="M222" t="str">
        <f>IF(Table1[[#This Row],[Customer Rating]]&gt;=3,"Good","Average")</f>
        <v>Good</v>
      </c>
    </row>
    <row r="223" spans="1:13" x14ac:dyDescent="0.25">
      <c r="A223" t="s">
        <v>273</v>
      </c>
      <c r="B223" s="4">
        <v>45759</v>
      </c>
      <c r="C223" s="4" t="str">
        <f>TEXT(Table1[[#This Row],[Order Date]],"mmm")</f>
        <v>Apr</v>
      </c>
      <c r="D223" s="4" t="str">
        <f>TEXT(Table1[[#This Row],[Order Date]],"yyyy")</f>
        <v>2025</v>
      </c>
      <c r="E223" t="s">
        <v>28</v>
      </c>
      <c r="F223" t="s">
        <v>29</v>
      </c>
      <c r="G223" t="s">
        <v>57</v>
      </c>
      <c r="H223" t="s">
        <v>14</v>
      </c>
      <c r="I223">
        <v>1</v>
      </c>
      <c r="J223" s="2">
        <v>15.99</v>
      </c>
      <c r="K223" s="2">
        <v>15.99</v>
      </c>
      <c r="L223">
        <v>5</v>
      </c>
      <c r="M223" t="str">
        <f>IF(Table1[[#This Row],[Customer Rating]]&gt;=3,"Good","Average")</f>
        <v>Good</v>
      </c>
    </row>
    <row r="224" spans="1:13" x14ac:dyDescent="0.25">
      <c r="A224" t="s">
        <v>274</v>
      </c>
      <c r="B224" s="4">
        <v>45593</v>
      </c>
      <c r="C224" s="4" t="str">
        <f>TEXT(Table1[[#This Row],[Order Date]],"mmm")</f>
        <v>Oct</v>
      </c>
      <c r="D224" s="4" t="str">
        <f>TEXT(Table1[[#This Row],[Order Date]],"yyyy")</f>
        <v>2024</v>
      </c>
      <c r="E224" t="s">
        <v>21</v>
      </c>
      <c r="F224" t="s">
        <v>29</v>
      </c>
      <c r="G224" t="s">
        <v>62</v>
      </c>
      <c r="H224" t="s">
        <v>23</v>
      </c>
      <c r="I224">
        <v>1</v>
      </c>
      <c r="J224" s="2">
        <v>9.99</v>
      </c>
      <c r="K224" s="2">
        <v>9.99</v>
      </c>
      <c r="L224">
        <v>4</v>
      </c>
      <c r="M224" t="str">
        <f>IF(Table1[[#This Row],[Customer Rating]]&gt;=3,"Good","Average")</f>
        <v>Good</v>
      </c>
    </row>
    <row r="225" spans="1:13" x14ac:dyDescent="0.25">
      <c r="A225" t="s">
        <v>275</v>
      </c>
      <c r="B225" s="4">
        <v>45768</v>
      </c>
      <c r="C225" s="4" t="str">
        <f>TEXT(Table1[[#This Row],[Order Date]],"mmm")</f>
        <v>Apr</v>
      </c>
      <c r="D225" s="4" t="str">
        <f>TEXT(Table1[[#This Row],[Order Date]],"yyyy")</f>
        <v>2025</v>
      </c>
      <c r="E225" t="s">
        <v>45</v>
      </c>
      <c r="F225" t="s">
        <v>12</v>
      </c>
      <c r="G225" t="s">
        <v>46</v>
      </c>
      <c r="H225" t="s">
        <v>14</v>
      </c>
      <c r="I225">
        <v>4</v>
      </c>
      <c r="J225" s="2">
        <v>32.99</v>
      </c>
      <c r="K225" s="2">
        <v>131.96</v>
      </c>
      <c r="L225">
        <v>5</v>
      </c>
      <c r="M225" t="str">
        <f>IF(Table1[[#This Row],[Customer Rating]]&gt;=3,"Good","Average")</f>
        <v>Good</v>
      </c>
    </row>
    <row r="226" spans="1:13" x14ac:dyDescent="0.25">
      <c r="A226" t="s">
        <v>276</v>
      </c>
      <c r="B226" s="4">
        <v>45651</v>
      </c>
      <c r="C226" s="4" t="str">
        <f>TEXT(Table1[[#This Row],[Order Date]],"mmm")</f>
        <v>Dec</v>
      </c>
      <c r="D226" s="4" t="str">
        <f>TEXT(Table1[[#This Row],[Order Date]],"yyyy")</f>
        <v>2024</v>
      </c>
      <c r="E226" t="s">
        <v>32</v>
      </c>
      <c r="F226" t="s">
        <v>29</v>
      </c>
      <c r="G226" t="s">
        <v>26</v>
      </c>
      <c r="H226" t="s">
        <v>19</v>
      </c>
      <c r="I226">
        <v>1</v>
      </c>
      <c r="J226" s="2">
        <v>3.49</v>
      </c>
      <c r="K226" s="2">
        <v>3.49</v>
      </c>
      <c r="L226">
        <v>5</v>
      </c>
      <c r="M226" t="str">
        <f>IF(Table1[[#This Row],[Customer Rating]]&gt;=3,"Good","Average")</f>
        <v>Good</v>
      </c>
    </row>
    <row r="227" spans="1:13" x14ac:dyDescent="0.25">
      <c r="A227" t="s">
        <v>277</v>
      </c>
      <c r="B227" s="4">
        <v>45885</v>
      </c>
      <c r="C227" s="4" t="str">
        <f>TEXT(Table1[[#This Row],[Order Date]],"mmm")</f>
        <v>Aug</v>
      </c>
      <c r="D227" s="4" t="str">
        <f>TEXT(Table1[[#This Row],[Order Date]],"yyyy")</f>
        <v>2025</v>
      </c>
      <c r="E227" t="s">
        <v>11</v>
      </c>
      <c r="F227" t="s">
        <v>12</v>
      </c>
      <c r="G227" t="s">
        <v>30</v>
      </c>
      <c r="H227" t="s">
        <v>19</v>
      </c>
      <c r="I227">
        <v>1</v>
      </c>
      <c r="J227" s="2">
        <v>7.99</v>
      </c>
      <c r="K227" s="2">
        <v>7.99</v>
      </c>
      <c r="L227">
        <v>4</v>
      </c>
      <c r="M227" t="str">
        <f>IF(Table1[[#This Row],[Customer Rating]]&gt;=3,"Good","Average")</f>
        <v>Good</v>
      </c>
    </row>
    <row r="228" spans="1:13" x14ac:dyDescent="0.25">
      <c r="A228" t="s">
        <v>278</v>
      </c>
      <c r="B228" s="4">
        <v>45672</v>
      </c>
      <c r="C228" s="4" t="str">
        <f>TEXT(Table1[[#This Row],[Order Date]],"mmm")</f>
        <v>Jan</v>
      </c>
      <c r="D228" s="4" t="str">
        <f>TEXT(Table1[[#This Row],[Order Date]],"yyyy")</f>
        <v>2025</v>
      </c>
      <c r="E228" t="s">
        <v>32</v>
      </c>
      <c r="F228" t="s">
        <v>29</v>
      </c>
      <c r="G228" t="s">
        <v>46</v>
      </c>
      <c r="H228" t="s">
        <v>14</v>
      </c>
      <c r="I228">
        <v>2</v>
      </c>
      <c r="J228" s="2">
        <v>32.99</v>
      </c>
      <c r="K228" s="2">
        <v>65.98</v>
      </c>
      <c r="L228">
        <v>5</v>
      </c>
      <c r="M228" t="str">
        <f>IF(Table1[[#This Row],[Customer Rating]]&gt;=3,"Good","Average")</f>
        <v>Good</v>
      </c>
    </row>
    <row r="229" spans="1:13" x14ac:dyDescent="0.25">
      <c r="A229" t="s">
        <v>279</v>
      </c>
      <c r="B229" s="4">
        <v>45702</v>
      </c>
      <c r="C229" s="4" t="str">
        <f>TEXT(Table1[[#This Row],[Order Date]],"mmm")</f>
        <v>Feb</v>
      </c>
      <c r="D229" s="4" t="str">
        <f>TEXT(Table1[[#This Row],[Order Date]],"yyyy")</f>
        <v>2025</v>
      </c>
      <c r="E229" t="s">
        <v>38</v>
      </c>
      <c r="F229" t="s">
        <v>29</v>
      </c>
      <c r="G229" t="s">
        <v>142</v>
      </c>
      <c r="H229" t="s">
        <v>23</v>
      </c>
      <c r="I229">
        <v>2</v>
      </c>
      <c r="J229" s="2">
        <v>14.99</v>
      </c>
      <c r="K229" s="2">
        <v>29.98</v>
      </c>
      <c r="L229">
        <v>5</v>
      </c>
      <c r="M229" t="str">
        <f>IF(Table1[[#This Row],[Customer Rating]]&gt;=3,"Good","Average")</f>
        <v>Good</v>
      </c>
    </row>
    <row r="230" spans="1:13" x14ac:dyDescent="0.25">
      <c r="A230" t="s">
        <v>280</v>
      </c>
      <c r="B230" s="4">
        <v>45606</v>
      </c>
      <c r="C230" s="4" t="str">
        <f>TEXT(Table1[[#This Row],[Order Date]],"mmm")</f>
        <v>Nov</v>
      </c>
      <c r="D230" s="4" t="str">
        <f>TEXT(Table1[[#This Row],[Order Date]],"yyyy")</f>
        <v>2024</v>
      </c>
      <c r="E230" t="s">
        <v>21</v>
      </c>
      <c r="F230" t="s">
        <v>29</v>
      </c>
      <c r="G230" t="s">
        <v>50</v>
      </c>
      <c r="H230" t="s">
        <v>14</v>
      </c>
      <c r="I230">
        <v>2</v>
      </c>
      <c r="J230" s="2">
        <v>22.99</v>
      </c>
      <c r="K230" s="2">
        <v>45.98</v>
      </c>
      <c r="L230">
        <v>3</v>
      </c>
      <c r="M230" t="str">
        <f>IF(Table1[[#This Row],[Customer Rating]]&gt;=3,"Good","Average")</f>
        <v>Good</v>
      </c>
    </row>
    <row r="231" spans="1:13" x14ac:dyDescent="0.25">
      <c r="A231" t="s">
        <v>281</v>
      </c>
      <c r="B231" s="4">
        <v>45462</v>
      </c>
      <c r="C231" s="4" t="str">
        <f>TEXT(Table1[[#This Row],[Order Date]],"mmm")</f>
        <v>Jun</v>
      </c>
      <c r="D231" s="4" t="str">
        <f>TEXT(Table1[[#This Row],[Order Date]],"yyyy")</f>
        <v>2024</v>
      </c>
      <c r="E231" t="s">
        <v>32</v>
      </c>
      <c r="F231" t="s">
        <v>12</v>
      </c>
      <c r="G231" t="s">
        <v>46</v>
      </c>
      <c r="H231" t="s">
        <v>14</v>
      </c>
      <c r="I231">
        <v>3</v>
      </c>
      <c r="J231" s="2">
        <v>32.99</v>
      </c>
      <c r="K231" s="2">
        <v>98.97</v>
      </c>
      <c r="L231">
        <v>5</v>
      </c>
      <c r="M231" t="str">
        <f>IF(Table1[[#This Row],[Customer Rating]]&gt;=3,"Good","Average")</f>
        <v>Good</v>
      </c>
    </row>
    <row r="232" spans="1:13" x14ac:dyDescent="0.25">
      <c r="A232" t="s">
        <v>282</v>
      </c>
      <c r="B232" s="4">
        <v>45951</v>
      </c>
      <c r="C232" s="4" t="str">
        <f>TEXT(Table1[[#This Row],[Order Date]],"mmm")</f>
        <v>Oct</v>
      </c>
      <c r="D232" s="4" t="str">
        <f>TEXT(Table1[[#This Row],[Order Date]],"yyyy")</f>
        <v>2025</v>
      </c>
      <c r="E232" t="s">
        <v>11</v>
      </c>
      <c r="F232" t="s">
        <v>17</v>
      </c>
      <c r="G232" t="s">
        <v>52</v>
      </c>
      <c r="H232" t="s">
        <v>19</v>
      </c>
      <c r="I232">
        <v>1</v>
      </c>
      <c r="J232" s="2">
        <v>6.99</v>
      </c>
      <c r="K232" s="2">
        <v>6.99</v>
      </c>
      <c r="L232">
        <v>4</v>
      </c>
      <c r="M232" t="str">
        <f>IF(Table1[[#This Row],[Customer Rating]]&gt;=3,"Good","Average")</f>
        <v>Good</v>
      </c>
    </row>
    <row r="233" spans="1:13" x14ac:dyDescent="0.25">
      <c r="A233" t="s">
        <v>283</v>
      </c>
      <c r="B233" s="4">
        <v>45610</v>
      </c>
      <c r="C233" s="4" t="str">
        <f>TEXT(Table1[[#This Row],[Order Date]],"mmm")</f>
        <v>Nov</v>
      </c>
      <c r="D233" s="4" t="str">
        <f>TEXT(Table1[[#This Row],[Order Date]],"yyyy")</f>
        <v>2024</v>
      </c>
      <c r="E233" t="s">
        <v>25</v>
      </c>
      <c r="F233" t="s">
        <v>29</v>
      </c>
      <c r="G233" t="s">
        <v>13</v>
      </c>
      <c r="H233" t="s">
        <v>14</v>
      </c>
      <c r="I233">
        <v>3</v>
      </c>
      <c r="J233" s="2">
        <v>18.989999999999998</v>
      </c>
      <c r="K233" s="2">
        <v>56.97</v>
      </c>
      <c r="L233">
        <v>4</v>
      </c>
      <c r="M233" t="str">
        <f>IF(Table1[[#This Row],[Customer Rating]]&gt;=3,"Good","Average")</f>
        <v>Good</v>
      </c>
    </row>
    <row r="234" spans="1:13" x14ac:dyDescent="0.25">
      <c r="A234" t="s">
        <v>284</v>
      </c>
      <c r="B234" s="4">
        <v>45620</v>
      </c>
      <c r="C234" s="4" t="str">
        <f>TEXT(Table1[[#This Row],[Order Date]],"mmm")</f>
        <v>Nov</v>
      </c>
      <c r="D234" s="4" t="str">
        <f>TEXT(Table1[[#This Row],[Order Date]],"yyyy")</f>
        <v>2024</v>
      </c>
      <c r="E234" t="s">
        <v>25</v>
      </c>
      <c r="F234" t="s">
        <v>12</v>
      </c>
      <c r="G234" t="s">
        <v>43</v>
      </c>
      <c r="H234" t="s">
        <v>23</v>
      </c>
      <c r="I234">
        <v>2</v>
      </c>
      <c r="J234" s="2">
        <v>11.99</v>
      </c>
      <c r="K234" s="2">
        <v>23.98</v>
      </c>
      <c r="L234">
        <v>4</v>
      </c>
      <c r="M234" t="str">
        <f>IF(Table1[[#This Row],[Customer Rating]]&gt;=3,"Good","Average")</f>
        <v>Good</v>
      </c>
    </row>
    <row r="235" spans="1:13" x14ac:dyDescent="0.25">
      <c r="A235" t="s">
        <v>285</v>
      </c>
      <c r="B235" s="4">
        <v>45743</v>
      </c>
      <c r="C235" s="4" t="str">
        <f>TEXT(Table1[[#This Row],[Order Date]],"mmm")</f>
        <v>Mar</v>
      </c>
      <c r="D235" s="4" t="str">
        <f>TEXT(Table1[[#This Row],[Order Date]],"yyyy")</f>
        <v>2025</v>
      </c>
      <c r="E235" t="s">
        <v>34</v>
      </c>
      <c r="F235" t="s">
        <v>17</v>
      </c>
      <c r="G235" t="s">
        <v>26</v>
      </c>
      <c r="H235" t="s">
        <v>19</v>
      </c>
      <c r="I235">
        <v>1</v>
      </c>
      <c r="J235" s="2">
        <v>3.49</v>
      </c>
      <c r="K235" s="2">
        <v>3.49</v>
      </c>
      <c r="L235">
        <v>2</v>
      </c>
      <c r="M235" t="str">
        <f>IF(Table1[[#This Row],[Customer Rating]]&gt;=3,"Good","Average")</f>
        <v>Average</v>
      </c>
    </row>
    <row r="236" spans="1:13" x14ac:dyDescent="0.25">
      <c r="A236" t="s">
        <v>286</v>
      </c>
      <c r="B236" s="4">
        <v>45529</v>
      </c>
      <c r="C236" s="4" t="str">
        <f>TEXT(Table1[[#This Row],[Order Date]],"mmm")</f>
        <v>Aug</v>
      </c>
      <c r="D236" s="4" t="str">
        <f>TEXT(Table1[[#This Row],[Order Date]],"yyyy")</f>
        <v>2024</v>
      </c>
      <c r="E236" t="s">
        <v>38</v>
      </c>
      <c r="F236" t="s">
        <v>17</v>
      </c>
      <c r="G236" t="s">
        <v>36</v>
      </c>
      <c r="H236" t="s">
        <v>14</v>
      </c>
      <c r="I236">
        <v>1</v>
      </c>
      <c r="J236" s="2">
        <v>16.989999999999998</v>
      </c>
      <c r="K236" s="2">
        <v>16.989999999999998</v>
      </c>
      <c r="L236">
        <v>3</v>
      </c>
      <c r="M236" t="str">
        <f>IF(Table1[[#This Row],[Customer Rating]]&gt;=3,"Good","Average")</f>
        <v>Good</v>
      </c>
    </row>
    <row r="237" spans="1:13" x14ac:dyDescent="0.25">
      <c r="A237" t="s">
        <v>287</v>
      </c>
      <c r="B237" s="4">
        <v>45470</v>
      </c>
      <c r="C237" s="4" t="str">
        <f>TEXT(Table1[[#This Row],[Order Date]],"mmm")</f>
        <v>Jun</v>
      </c>
      <c r="D237" s="4" t="str">
        <f>TEXT(Table1[[#This Row],[Order Date]],"yyyy")</f>
        <v>2024</v>
      </c>
      <c r="E237" t="s">
        <v>32</v>
      </c>
      <c r="F237" t="s">
        <v>12</v>
      </c>
      <c r="G237" t="s">
        <v>36</v>
      </c>
      <c r="H237" t="s">
        <v>14</v>
      </c>
      <c r="I237">
        <v>3</v>
      </c>
      <c r="J237" s="2">
        <v>16.989999999999998</v>
      </c>
      <c r="K237" s="2">
        <v>50.97</v>
      </c>
      <c r="L237">
        <v>3</v>
      </c>
      <c r="M237" t="str">
        <f>IF(Table1[[#This Row],[Customer Rating]]&gt;=3,"Good","Average")</f>
        <v>Good</v>
      </c>
    </row>
    <row r="238" spans="1:13" x14ac:dyDescent="0.25">
      <c r="A238" t="s">
        <v>288</v>
      </c>
      <c r="B238" s="4">
        <v>45899</v>
      </c>
      <c r="C238" s="4" t="str">
        <f>TEXT(Table1[[#This Row],[Order Date]],"mmm")</f>
        <v>Aug</v>
      </c>
      <c r="D238" s="4" t="str">
        <f>TEXT(Table1[[#This Row],[Order Date]],"yyyy")</f>
        <v>2025</v>
      </c>
      <c r="E238" t="s">
        <v>97</v>
      </c>
      <c r="F238" t="s">
        <v>29</v>
      </c>
      <c r="G238" t="s">
        <v>66</v>
      </c>
      <c r="H238" t="s">
        <v>67</v>
      </c>
      <c r="I238">
        <v>2</v>
      </c>
      <c r="J238" s="2">
        <v>7.99</v>
      </c>
      <c r="K238" s="2">
        <v>15.98</v>
      </c>
      <c r="L238">
        <v>3</v>
      </c>
      <c r="M238" t="str">
        <f>IF(Table1[[#This Row],[Customer Rating]]&gt;=3,"Good","Average")</f>
        <v>Good</v>
      </c>
    </row>
    <row r="239" spans="1:13" x14ac:dyDescent="0.25">
      <c r="A239" t="s">
        <v>289</v>
      </c>
      <c r="B239" s="4">
        <v>45935</v>
      </c>
      <c r="C239" s="4" t="str">
        <f>TEXT(Table1[[#This Row],[Order Date]],"mmm")</f>
        <v>Oct</v>
      </c>
      <c r="D239" s="4" t="str">
        <f>TEXT(Table1[[#This Row],[Order Date]],"yyyy")</f>
        <v>2025</v>
      </c>
      <c r="E239" t="s">
        <v>16</v>
      </c>
      <c r="F239" t="s">
        <v>17</v>
      </c>
      <c r="G239" t="s">
        <v>79</v>
      </c>
      <c r="H239" t="s">
        <v>67</v>
      </c>
      <c r="I239">
        <v>3</v>
      </c>
      <c r="J239" s="2">
        <v>10.99</v>
      </c>
      <c r="K239" s="2">
        <v>32.97</v>
      </c>
      <c r="L239">
        <v>4</v>
      </c>
      <c r="M239" t="str">
        <f>IF(Table1[[#This Row],[Customer Rating]]&gt;=3,"Good","Average")</f>
        <v>Good</v>
      </c>
    </row>
    <row r="240" spans="1:13" x14ac:dyDescent="0.25">
      <c r="A240" t="s">
        <v>290</v>
      </c>
      <c r="B240" s="4">
        <v>45766</v>
      </c>
      <c r="C240" s="4" t="str">
        <f>TEXT(Table1[[#This Row],[Order Date]],"mmm")</f>
        <v>Apr</v>
      </c>
      <c r="D240" s="4" t="str">
        <f>TEXT(Table1[[#This Row],[Order Date]],"yyyy")</f>
        <v>2025</v>
      </c>
      <c r="E240" t="s">
        <v>32</v>
      </c>
      <c r="F240" t="s">
        <v>12</v>
      </c>
      <c r="G240" t="s">
        <v>39</v>
      </c>
      <c r="H240" t="s">
        <v>14</v>
      </c>
      <c r="I240">
        <v>1</v>
      </c>
      <c r="J240" s="2">
        <v>24.99</v>
      </c>
      <c r="K240" s="2">
        <v>24.99</v>
      </c>
      <c r="L240">
        <v>4</v>
      </c>
      <c r="M240" t="str">
        <f>IF(Table1[[#This Row],[Customer Rating]]&gt;=3,"Good","Average")</f>
        <v>Good</v>
      </c>
    </row>
    <row r="241" spans="1:13" x14ac:dyDescent="0.25">
      <c r="A241" t="s">
        <v>291</v>
      </c>
      <c r="B241" s="4">
        <v>45571</v>
      </c>
      <c r="C241" s="4" t="str">
        <f>TEXT(Table1[[#This Row],[Order Date]],"mmm")</f>
        <v>Oct</v>
      </c>
      <c r="D241" s="4" t="str">
        <f>TEXT(Table1[[#This Row],[Order Date]],"yyyy")</f>
        <v>2024</v>
      </c>
      <c r="E241" t="s">
        <v>28</v>
      </c>
      <c r="F241" t="s">
        <v>29</v>
      </c>
      <c r="G241" t="s">
        <v>69</v>
      </c>
      <c r="H241" t="s">
        <v>67</v>
      </c>
      <c r="I241">
        <v>1</v>
      </c>
      <c r="J241" s="2">
        <v>8.99</v>
      </c>
      <c r="K241" s="2">
        <v>8.99</v>
      </c>
      <c r="L241">
        <v>5</v>
      </c>
      <c r="M241" t="str">
        <f>IF(Table1[[#This Row],[Customer Rating]]&gt;=3,"Good","Average")</f>
        <v>Good</v>
      </c>
    </row>
    <row r="242" spans="1:13" x14ac:dyDescent="0.25">
      <c r="A242" t="s">
        <v>292</v>
      </c>
      <c r="B242" s="4">
        <v>45553</v>
      </c>
      <c r="C242" s="4" t="str">
        <f>TEXT(Table1[[#This Row],[Order Date]],"mmm")</f>
        <v>Sep</v>
      </c>
      <c r="D242" s="4" t="str">
        <f>TEXT(Table1[[#This Row],[Order Date]],"yyyy")</f>
        <v>2024</v>
      </c>
      <c r="E242" t="s">
        <v>32</v>
      </c>
      <c r="F242" t="s">
        <v>17</v>
      </c>
      <c r="G242" t="s">
        <v>30</v>
      </c>
      <c r="H242" t="s">
        <v>19</v>
      </c>
      <c r="I242">
        <v>2</v>
      </c>
      <c r="J242" s="2">
        <v>7.99</v>
      </c>
      <c r="K242" s="2">
        <v>15.98</v>
      </c>
      <c r="L242">
        <v>4</v>
      </c>
      <c r="M242" t="str">
        <f>IF(Table1[[#This Row],[Customer Rating]]&gt;=3,"Good","Average")</f>
        <v>Good</v>
      </c>
    </row>
    <row r="243" spans="1:13" x14ac:dyDescent="0.25">
      <c r="A243" t="s">
        <v>293</v>
      </c>
      <c r="B243" s="4">
        <v>45583</v>
      </c>
      <c r="C243" s="4" t="str">
        <f>TEXT(Table1[[#This Row],[Order Date]],"mmm")</f>
        <v>Oct</v>
      </c>
      <c r="D243" s="4" t="str">
        <f>TEXT(Table1[[#This Row],[Order Date]],"yyyy")</f>
        <v>2024</v>
      </c>
      <c r="E243" t="s">
        <v>16</v>
      </c>
      <c r="F243" t="s">
        <v>17</v>
      </c>
      <c r="G243" t="s">
        <v>66</v>
      </c>
      <c r="H243" t="s">
        <v>67</v>
      </c>
      <c r="I243">
        <v>1</v>
      </c>
      <c r="J243" s="2">
        <v>7.99</v>
      </c>
      <c r="K243" s="2">
        <v>7.99</v>
      </c>
      <c r="L243">
        <v>5</v>
      </c>
      <c r="M243" t="str">
        <f>IF(Table1[[#This Row],[Customer Rating]]&gt;=3,"Good","Average")</f>
        <v>Good</v>
      </c>
    </row>
    <row r="244" spans="1:13" x14ac:dyDescent="0.25">
      <c r="A244" t="s">
        <v>294</v>
      </c>
      <c r="B244" s="4">
        <v>45612</v>
      </c>
      <c r="C244" s="4" t="str">
        <f>TEXT(Table1[[#This Row],[Order Date]],"mmm")</f>
        <v>Nov</v>
      </c>
      <c r="D244" s="4" t="str">
        <f>TEXT(Table1[[#This Row],[Order Date]],"yyyy")</f>
        <v>2024</v>
      </c>
      <c r="E244" t="s">
        <v>16</v>
      </c>
      <c r="F244" t="s">
        <v>29</v>
      </c>
      <c r="G244" t="s">
        <v>55</v>
      </c>
      <c r="H244" t="s">
        <v>23</v>
      </c>
      <c r="I244">
        <v>1</v>
      </c>
      <c r="J244" s="2">
        <v>10.99</v>
      </c>
      <c r="K244" s="2">
        <v>10.99</v>
      </c>
      <c r="L244">
        <v>5</v>
      </c>
      <c r="M244" t="str">
        <f>IF(Table1[[#This Row],[Customer Rating]]&gt;=3,"Good","Average")</f>
        <v>Good</v>
      </c>
    </row>
    <row r="245" spans="1:13" x14ac:dyDescent="0.25">
      <c r="A245" t="s">
        <v>295</v>
      </c>
      <c r="B245" s="4">
        <v>45343</v>
      </c>
      <c r="C245" s="4" t="str">
        <f>TEXT(Table1[[#This Row],[Order Date]],"mmm")</f>
        <v>Feb</v>
      </c>
      <c r="D245" s="4" t="str">
        <f>TEXT(Table1[[#This Row],[Order Date]],"yyyy")</f>
        <v>2024</v>
      </c>
      <c r="E245" t="s">
        <v>45</v>
      </c>
      <c r="F245" t="s">
        <v>29</v>
      </c>
      <c r="G245" t="s">
        <v>142</v>
      </c>
      <c r="H245" t="s">
        <v>23</v>
      </c>
      <c r="I245">
        <v>2</v>
      </c>
      <c r="J245" s="2">
        <v>14.99</v>
      </c>
      <c r="K245" s="2">
        <v>29.98</v>
      </c>
      <c r="L245">
        <v>2</v>
      </c>
      <c r="M245" t="str">
        <f>IF(Table1[[#This Row],[Customer Rating]]&gt;=3,"Good","Average")</f>
        <v>Average</v>
      </c>
    </row>
    <row r="246" spans="1:13" x14ac:dyDescent="0.25">
      <c r="A246" t="s">
        <v>296</v>
      </c>
      <c r="B246" s="4">
        <v>45320</v>
      </c>
      <c r="C246" s="4" t="str">
        <f>TEXT(Table1[[#This Row],[Order Date]],"mmm")</f>
        <v>Jan</v>
      </c>
      <c r="D246" s="4" t="str">
        <f>TEXT(Table1[[#This Row],[Order Date]],"yyyy")</f>
        <v>2024</v>
      </c>
      <c r="E246" t="s">
        <v>97</v>
      </c>
      <c r="F246" t="s">
        <v>12</v>
      </c>
      <c r="G246" t="s">
        <v>83</v>
      </c>
      <c r="H246" t="s">
        <v>14</v>
      </c>
      <c r="I246">
        <v>3</v>
      </c>
      <c r="J246" s="2">
        <v>17.989999999999998</v>
      </c>
      <c r="K246" s="2">
        <v>53.97</v>
      </c>
      <c r="L246">
        <v>3</v>
      </c>
      <c r="M246" t="str">
        <f>IF(Table1[[#This Row],[Customer Rating]]&gt;=3,"Good","Average")</f>
        <v>Good</v>
      </c>
    </row>
    <row r="247" spans="1:13" x14ac:dyDescent="0.25">
      <c r="A247" t="s">
        <v>297</v>
      </c>
      <c r="B247" s="4">
        <v>45493</v>
      </c>
      <c r="C247" s="4" t="str">
        <f>TEXT(Table1[[#This Row],[Order Date]],"mmm")</f>
        <v>Jul</v>
      </c>
      <c r="D247" s="4" t="str">
        <f>TEXT(Table1[[#This Row],[Order Date]],"yyyy")</f>
        <v>2024</v>
      </c>
      <c r="E247" t="s">
        <v>32</v>
      </c>
      <c r="F247" t="s">
        <v>12</v>
      </c>
      <c r="G247" t="s">
        <v>50</v>
      </c>
      <c r="H247" t="s">
        <v>14</v>
      </c>
      <c r="I247">
        <v>1</v>
      </c>
      <c r="J247" s="2">
        <v>22.99</v>
      </c>
      <c r="K247" s="2">
        <v>22.99</v>
      </c>
      <c r="L247">
        <v>4</v>
      </c>
      <c r="M247" t="str">
        <f>IF(Table1[[#This Row],[Customer Rating]]&gt;=3,"Good","Average")</f>
        <v>Good</v>
      </c>
    </row>
    <row r="248" spans="1:13" x14ac:dyDescent="0.25">
      <c r="A248" t="s">
        <v>298</v>
      </c>
      <c r="B248" s="4">
        <v>45977</v>
      </c>
      <c r="C248" s="4" t="str">
        <f>TEXT(Table1[[#This Row],[Order Date]],"mmm")</f>
        <v>Nov</v>
      </c>
      <c r="D248" s="4" t="str">
        <f>TEXT(Table1[[#This Row],[Order Date]],"yyyy")</f>
        <v>2025</v>
      </c>
      <c r="E248" t="s">
        <v>97</v>
      </c>
      <c r="F248" t="s">
        <v>29</v>
      </c>
      <c r="G248" t="s">
        <v>43</v>
      </c>
      <c r="H248" t="s">
        <v>23</v>
      </c>
      <c r="I248">
        <v>2</v>
      </c>
      <c r="J248" s="2">
        <v>11.99</v>
      </c>
      <c r="K248" s="2">
        <v>23.98</v>
      </c>
      <c r="L248">
        <v>4</v>
      </c>
      <c r="M248" t="str">
        <f>IF(Table1[[#This Row],[Customer Rating]]&gt;=3,"Good","Average")</f>
        <v>Good</v>
      </c>
    </row>
    <row r="249" spans="1:13" x14ac:dyDescent="0.25">
      <c r="A249" t="s">
        <v>299</v>
      </c>
      <c r="B249" s="4">
        <v>45990</v>
      </c>
      <c r="C249" s="4" t="str">
        <f>TEXT(Table1[[#This Row],[Order Date]],"mmm")</f>
        <v>Nov</v>
      </c>
      <c r="D249" s="4" t="str">
        <f>TEXT(Table1[[#This Row],[Order Date]],"yyyy")</f>
        <v>2025</v>
      </c>
      <c r="E249" t="s">
        <v>25</v>
      </c>
      <c r="F249" t="s">
        <v>12</v>
      </c>
      <c r="G249" t="s">
        <v>62</v>
      </c>
      <c r="H249" t="s">
        <v>23</v>
      </c>
      <c r="I249">
        <v>3</v>
      </c>
      <c r="J249" s="2">
        <v>9.99</v>
      </c>
      <c r="K249" s="2">
        <v>29.97</v>
      </c>
      <c r="L249">
        <v>3</v>
      </c>
      <c r="M249" t="str">
        <f>IF(Table1[[#This Row],[Customer Rating]]&gt;=3,"Good","Average")</f>
        <v>Good</v>
      </c>
    </row>
    <row r="250" spans="1:13" x14ac:dyDescent="0.25">
      <c r="A250" t="s">
        <v>300</v>
      </c>
      <c r="B250" s="4">
        <v>46010</v>
      </c>
      <c r="C250" s="4" t="str">
        <f>TEXT(Table1[[#This Row],[Order Date]],"mmm")</f>
        <v>Dec</v>
      </c>
      <c r="D250" s="4" t="str">
        <f>TEXT(Table1[[#This Row],[Order Date]],"yyyy")</f>
        <v>2025</v>
      </c>
      <c r="E250" t="s">
        <v>34</v>
      </c>
      <c r="F250" t="s">
        <v>12</v>
      </c>
      <c r="G250" t="s">
        <v>221</v>
      </c>
      <c r="H250" t="s">
        <v>67</v>
      </c>
      <c r="I250">
        <v>1</v>
      </c>
      <c r="J250" s="2">
        <v>9.99</v>
      </c>
      <c r="K250" s="2">
        <v>9.99</v>
      </c>
      <c r="L250">
        <v>5</v>
      </c>
      <c r="M250" t="str">
        <f>IF(Table1[[#This Row],[Customer Rating]]&gt;=3,"Good","Average")</f>
        <v>Good</v>
      </c>
    </row>
    <row r="251" spans="1:13" x14ac:dyDescent="0.25">
      <c r="A251" t="s">
        <v>301</v>
      </c>
      <c r="B251" s="4">
        <v>45359</v>
      </c>
      <c r="C251" s="4" t="str">
        <f>TEXT(Table1[[#This Row],[Order Date]],"mmm")</f>
        <v>Mar</v>
      </c>
      <c r="D251" s="4" t="str">
        <f>TEXT(Table1[[#This Row],[Order Date]],"yyyy")</f>
        <v>2024</v>
      </c>
      <c r="E251" t="s">
        <v>32</v>
      </c>
      <c r="F251" t="s">
        <v>12</v>
      </c>
      <c r="G251" t="s">
        <v>46</v>
      </c>
      <c r="H251" t="s">
        <v>14</v>
      </c>
      <c r="I251">
        <v>1</v>
      </c>
      <c r="J251" s="2">
        <v>32.99</v>
      </c>
      <c r="K251" s="2">
        <v>32.99</v>
      </c>
      <c r="L251">
        <v>4</v>
      </c>
      <c r="M251" t="str">
        <f>IF(Table1[[#This Row],[Customer Rating]]&gt;=3,"Good","Average")</f>
        <v>Good</v>
      </c>
    </row>
    <row r="252" spans="1:13" x14ac:dyDescent="0.25">
      <c r="A252" t="s">
        <v>302</v>
      </c>
      <c r="B252" s="4">
        <v>45490</v>
      </c>
      <c r="C252" s="4" t="str">
        <f>TEXT(Table1[[#This Row],[Order Date]],"mmm")</f>
        <v>Jul</v>
      </c>
      <c r="D252" s="4" t="str">
        <f>TEXT(Table1[[#This Row],[Order Date]],"yyyy")</f>
        <v>2024</v>
      </c>
      <c r="E252" t="s">
        <v>21</v>
      </c>
      <c r="F252" t="s">
        <v>17</v>
      </c>
      <c r="G252" t="s">
        <v>176</v>
      </c>
      <c r="H252" t="s">
        <v>67</v>
      </c>
      <c r="I252">
        <v>2</v>
      </c>
      <c r="J252" s="2">
        <v>11.99</v>
      </c>
      <c r="K252" s="2">
        <v>23.98</v>
      </c>
      <c r="L252">
        <v>4</v>
      </c>
      <c r="M252" t="str">
        <f>IF(Table1[[#This Row],[Customer Rating]]&gt;=3,"Good","Average")</f>
        <v>Good</v>
      </c>
    </row>
    <row r="253" spans="1:13" x14ac:dyDescent="0.25">
      <c r="A253" t="s">
        <v>303</v>
      </c>
      <c r="B253" s="4">
        <v>45960</v>
      </c>
      <c r="C253" s="4" t="str">
        <f>TEXT(Table1[[#This Row],[Order Date]],"mmm")</f>
        <v>Oct</v>
      </c>
      <c r="D253" s="4" t="str">
        <f>TEXT(Table1[[#This Row],[Order Date]],"yyyy")</f>
        <v>2025</v>
      </c>
      <c r="E253" t="s">
        <v>34</v>
      </c>
      <c r="F253" t="s">
        <v>17</v>
      </c>
      <c r="G253" t="s">
        <v>55</v>
      </c>
      <c r="H253" t="s">
        <v>23</v>
      </c>
      <c r="I253">
        <v>2</v>
      </c>
      <c r="J253" s="2">
        <v>10.99</v>
      </c>
      <c r="K253" s="2">
        <v>21.98</v>
      </c>
      <c r="L253">
        <v>4</v>
      </c>
      <c r="M253" t="str">
        <f>IF(Table1[[#This Row],[Customer Rating]]&gt;=3,"Good","Average")</f>
        <v>Good</v>
      </c>
    </row>
    <row r="254" spans="1:13" x14ac:dyDescent="0.25">
      <c r="A254" t="s">
        <v>304</v>
      </c>
      <c r="B254" s="4">
        <v>45469</v>
      </c>
      <c r="C254" s="4" t="str">
        <f>TEXT(Table1[[#This Row],[Order Date]],"mmm")</f>
        <v>Jun</v>
      </c>
      <c r="D254" s="4" t="str">
        <f>TEXT(Table1[[#This Row],[Order Date]],"yyyy")</f>
        <v>2024</v>
      </c>
      <c r="E254" t="s">
        <v>45</v>
      </c>
      <c r="F254" t="s">
        <v>12</v>
      </c>
      <c r="G254" t="s">
        <v>22</v>
      </c>
      <c r="H254" t="s">
        <v>23</v>
      </c>
      <c r="I254">
        <v>1</v>
      </c>
      <c r="J254" s="2">
        <v>8.99</v>
      </c>
      <c r="K254" s="2">
        <v>8.99</v>
      </c>
      <c r="L254">
        <v>4</v>
      </c>
      <c r="M254" t="str">
        <f>IF(Table1[[#This Row],[Customer Rating]]&gt;=3,"Good","Average")</f>
        <v>Good</v>
      </c>
    </row>
    <row r="255" spans="1:13" x14ac:dyDescent="0.25">
      <c r="A255" t="s">
        <v>305</v>
      </c>
      <c r="B255" s="4">
        <v>45653</v>
      </c>
      <c r="C255" s="4" t="str">
        <f>TEXT(Table1[[#This Row],[Order Date]],"mmm")</f>
        <v>Dec</v>
      </c>
      <c r="D255" s="4" t="str">
        <f>TEXT(Table1[[#This Row],[Order Date]],"yyyy")</f>
        <v>2024</v>
      </c>
      <c r="E255" t="s">
        <v>11</v>
      </c>
      <c r="F255" t="s">
        <v>29</v>
      </c>
      <c r="G255" t="s">
        <v>57</v>
      </c>
      <c r="H255" t="s">
        <v>14</v>
      </c>
      <c r="I255">
        <v>2</v>
      </c>
      <c r="J255" s="2">
        <v>15.99</v>
      </c>
      <c r="K255" s="2">
        <v>31.98</v>
      </c>
      <c r="L255">
        <v>5</v>
      </c>
      <c r="M255" t="str">
        <f>IF(Table1[[#This Row],[Customer Rating]]&gt;=3,"Good","Average")</f>
        <v>Good</v>
      </c>
    </row>
    <row r="256" spans="1:13" x14ac:dyDescent="0.25">
      <c r="A256" t="s">
        <v>306</v>
      </c>
      <c r="B256" s="4">
        <v>45830</v>
      </c>
      <c r="C256" s="4" t="str">
        <f>TEXT(Table1[[#This Row],[Order Date]],"mmm")</f>
        <v>Jun</v>
      </c>
      <c r="D256" s="4" t="str">
        <f>TEXT(Table1[[#This Row],[Order Date]],"yyyy")</f>
        <v>2025</v>
      </c>
      <c r="E256" t="s">
        <v>11</v>
      </c>
      <c r="F256" t="s">
        <v>12</v>
      </c>
      <c r="G256" t="s">
        <v>112</v>
      </c>
      <c r="H256" t="s">
        <v>19</v>
      </c>
      <c r="I256">
        <v>1</v>
      </c>
      <c r="J256" s="2">
        <v>5.99</v>
      </c>
      <c r="K256" s="2">
        <v>5.99</v>
      </c>
      <c r="L256">
        <v>5</v>
      </c>
      <c r="M256" t="str">
        <f>IF(Table1[[#This Row],[Customer Rating]]&gt;=3,"Good","Average")</f>
        <v>Good</v>
      </c>
    </row>
    <row r="257" spans="1:13" x14ac:dyDescent="0.25">
      <c r="A257" t="s">
        <v>307</v>
      </c>
      <c r="B257" s="4">
        <v>45940</v>
      </c>
      <c r="C257" s="4" t="str">
        <f>TEXT(Table1[[#This Row],[Order Date]],"mmm")</f>
        <v>Oct</v>
      </c>
      <c r="D257" s="4" t="str">
        <f>TEXT(Table1[[#This Row],[Order Date]],"yyyy")</f>
        <v>2025</v>
      </c>
      <c r="E257" t="s">
        <v>28</v>
      </c>
      <c r="F257" t="s">
        <v>12</v>
      </c>
      <c r="G257" t="s">
        <v>79</v>
      </c>
      <c r="H257" t="s">
        <v>67</v>
      </c>
      <c r="I257">
        <v>3</v>
      </c>
      <c r="J257" s="2">
        <v>10.99</v>
      </c>
      <c r="K257" s="2">
        <v>32.97</v>
      </c>
      <c r="L257">
        <v>3</v>
      </c>
      <c r="M257" t="str">
        <f>IF(Table1[[#This Row],[Customer Rating]]&gt;=3,"Good","Average")</f>
        <v>Good</v>
      </c>
    </row>
    <row r="258" spans="1:13" x14ac:dyDescent="0.25">
      <c r="A258" t="s">
        <v>308</v>
      </c>
      <c r="B258" s="4">
        <v>45626</v>
      </c>
      <c r="C258" s="4" t="str">
        <f>TEXT(Table1[[#This Row],[Order Date]],"mmm")</f>
        <v>Nov</v>
      </c>
      <c r="D258" s="4" t="str">
        <f>TEXT(Table1[[#This Row],[Order Date]],"yyyy")</f>
        <v>2024</v>
      </c>
      <c r="E258" t="s">
        <v>34</v>
      </c>
      <c r="F258" t="s">
        <v>12</v>
      </c>
      <c r="G258" t="s">
        <v>36</v>
      </c>
      <c r="H258" t="s">
        <v>14</v>
      </c>
      <c r="I258">
        <v>2</v>
      </c>
      <c r="J258" s="2">
        <v>16.989999999999998</v>
      </c>
      <c r="K258" s="2">
        <v>33.979999999999997</v>
      </c>
      <c r="L258">
        <v>4</v>
      </c>
      <c r="M258" t="str">
        <f>IF(Table1[[#This Row],[Customer Rating]]&gt;=3,"Good","Average")</f>
        <v>Good</v>
      </c>
    </row>
    <row r="259" spans="1:13" x14ac:dyDescent="0.25">
      <c r="A259" t="s">
        <v>309</v>
      </c>
      <c r="B259" s="4">
        <v>45401</v>
      </c>
      <c r="C259" s="4" t="str">
        <f>TEXT(Table1[[#This Row],[Order Date]],"mmm")</f>
        <v>Apr</v>
      </c>
      <c r="D259" s="4" t="str">
        <f>TEXT(Table1[[#This Row],[Order Date]],"yyyy")</f>
        <v>2024</v>
      </c>
      <c r="E259" t="s">
        <v>38</v>
      </c>
      <c r="F259" t="s">
        <v>29</v>
      </c>
      <c r="G259" t="s">
        <v>52</v>
      </c>
      <c r="H259" t="s">
        <v>19</v>
      </c>
      <c r="I259">
        <v>2</v>
      </c>
      <c r="J259" s="2">
        <v>6.99</v>
      </c>
      <c r="K259" s="2">
        <v>13.98</v>
      </c>
      <c r="L259">
        <v>5</v>
      </c>
      <c r="M259" t="str">
        <f>IF(Table1[[#This Row],[Customer Rating]]&gt;=3,"Good","Average")</f>
        <v>Good</v>
      </c>
    </row>
    <row r="260" spans="1:13" x14ac:dyDescent="0.25">
      <c r="A260" t="s">
        <v>310</v>
      </c>
      <c r="B260" s="4">
        <v>45698</v>
      </c>
      <c r="C260" s="4" t="str">
        <f>TEXT(Table1[[#This Row],[Order Date]],"mmm")</f>
        <v>Feb</v>
      </c>
      <c r="D260" s="4" t="str">
        <f>TEXT(Table1[[#This Row],[Order Date]],"yyyy")</f>
        <v>2025</v>
      </c>
      <c r="E260" t="s">
        <v>97</v>
      </c>
      <c r="F260" t="s">
        <v>12</v>
      </c>
      <c r="G260" t="s">
        <v>36</v>
      </c>
      <c r="H260" t="s">
        <v>14</v>
      </c>
      <c r="I260">
        <v>3</v>
      </c>
      <c r="J260" s="2">
        <v>16.989999999999998</v>
      </c>
      <c r="K260" s="2">
        <v>50.97</v>
      </c>
      <c r="L260">
        <v>5</v>
      </c>
      <c r="M260" t="str">
        <f>IF(Table1[[#This Row],[Customer Rating]]&gt;=3,"Good","Average")</f>
        <v>Good</v>
      </c>
    </row>
    <row r="261" spans="1:13" x14ac:dyDescent="0.25">
      <c r="A261" t="s">
        <v>311</v>
      </c>
      <c r="B261" s="4">
        <v>45374</v>
      </c>
      <c r="C261" s="4" t="str">
        <f>TEXT(Table1[[#This Row],[Order Date]],"mmm")</f>
        <v>Mar</v>
      </c>
      <c r="D261" s="4" t="str">
        <f>TEXT(Table1[[#This Row],[Order Date]],"yyyy")</f>
        <v>2024</v>
      </c>
      <c r="E261" t="s">
        <v>45</v>
      </c>
      <c r="F261" t="s">
        <v>29</v>
      </c>
      <c r="G261" t="s">
        <v>30</v>
      </c>
      <c r="H261" t="s">
        <v>19</v>
      </c>
      <c r="I261">
        <v>1</v>
      </c>
      <c r="J261" s="2">
        <v>7.99</v>
      </c>
      <c r="K261" s="2">
        <v>7.99</v>
      </c>
      <c r="L261">
        <v>4</v>
      </c>
      <c r="M261" t="str">
        <f>IF(Table1[[#This Row],[Customer Rating]]&gt;=3,"Good","Average")</f>
        <v>Good</v>
      </c>
    </row>
    <row r="262" spans="1:13" x14ac:dyDescent="0.25">
      <c r="A262" t="s">
        <v>312</v>
      </c>
      <c r="B262" s="4">
        <v>45524</v>
      </c>
      <c r="C262" s="4" t="str">
        <f>TEXT(Table1[[#This Row],[Order Date]],"mmm")</f>
        <v>Aug</v>
      </c>
      <c r="D262" s="4" t="str">
        <f>TEXT(Table1[[#This Row],[Order Date]],"yyyy")</f>
        <v>2024</v>
      </c>
      <c r="E262" t="s">
        <v>97</v>
      </c>
      <c r="F262" t="s">
        <v>29</v>
      </c>
      <c r="G262" t="s">
        <v>176</v>
      </c>
      <c r="H262" t="s">
        <v>67</v>
      </c>
      <c r="I262">
        <v>2</v>
      </c>
      <c r="J262" s="2">
        <v>11.99</v>
      </c>
      <c r="K262" s="2">
        <v>23.98</v>
      </c>
      <c r="L262">
        <v>4</v>
      </c>
      <c r="M262" t="str">
        <f>IF(Table1[[#This Row],[Customer Rating]]&gt;=3,"Good","Average")</f>
        <v>Good</v>
      </c>
    </row>
    <row r="263" spans="1:13" x14ac:dyDescent="0.25">
      <c r="A263" t="s">
        <v>313</v>
      </c>
      <c r="B263" s="4">
        <v>45697</v>
      </c>
      <c r="C263" s="4" t="str">
        <f>TEXT(Table1[[#This Row],[Order Date]],"mmm")</f>
        <v>Feb</v>
      </c>
      <c r="D263" s="4" t="str">
        <f>TEXT(Table1[[#This Row],[Order Date]],"yyyy")</f>
        <v>2025</v>
      </c>
      <c r="E263" t="s">
        <v>28</v>
      </c>
      <c r="F263" t="s">
        <v>17</v>
      </c>
      <c r="G263" t="s">
        <v>36</v>
      </c>
      <c r="H263" t="s">
        <v>14</v>
      </c>
      <c r="I263">
        <v>1</v>
      </c>
      <c r="J263" s="2">
        <v>16.989999999999998</v>
      </c>
      <c r="K263" s="2">
        <v>16.989999999999998</v>
      </c>
      <c r="L263">
        <v>5</v>
      </c>
      <c r="M263" t="str">
        <f>IF(Table1[[#This Row],[Customer Rating]]&gt;=3,"Good","Average")</f>
        <v>Good</v>
      </c>
    </row>
    <row r="264" spans="1:13" x14ac:dyDescent="0.25">
      <c r="A264" t="s">
        <v>314</v>
      </c>
      <c r="B264" s="4">
        <v>45405</v>
      </c>
      <c r="C264" s="4" t="str">
        <f>TEXT(Table1[[#This Row],[Order Date]],"mmm")</f>
        <v>Apr</v>
      </c>
      <c r="D264" s="4" t="str">
        <f>TEXT(Table1[[#This Row],[Order Date]],"yyyy")</f>
        <v>2024</v>
      </c>
      <c r="E264" t="s">
        <v>28</v>
      </c>
      <c r="F264" t="s">
        <v>29</v>
      </c>
      <c r="G264" t="s">
        <v>79</v>
      </c>
      <c r="H264" t="s">
        <v>67</v>
      </c>
      <c r="I264">
        <v>1</v>
      </c>
      <c r="J264" s="2">
        <v>10.99</v>
      </c>
      <c r="K264" s="2">
        <v>10.99</v>
      </c>
      <c r="L264">
        <v>3</v>
      </c>
      <c r="M264" t="str">
        <f>IF(Table1[[#This Row],[Customer Rating]]&gt;=3,"Good","Average")</f>
        <v>Good</v>
      </c>
    </row>
    <row r="265" spans="1:13" x14ac:dyDescent="0.25">
      <c r="A265" t="s">
        <v>315</v>
      </c>
      <c r="B265" s="4">
        <v>45586</v>
      </c>
      <c r="C265" s="4" t="str">
        <f>TEXT(Table1[[#This Row],[Order Date]],"mmm")</f>
        <v>Oct</v>
      </c>
      <c r="D265" s="4" t="str">
        <f>TEXT(Table1[[#This Row],[Order Date]],"yyyy")</f>
        <v>2024</v>
      </c>
      <c r="E265" t="s">
        <v>28</v>
      </c>
      <c r="F265" t="s">
        <v>29</v>
      </c>
      <c r="G265" t="s">
        <v>30</v>
      </c>
      <c r="H265" t="s">
        <v>19</v>
      </c>
      <c r="I265">
        <v>3</v>
      </c>
      <c r="J265" s="2">
        <v>7.99</v>
      </c>
      <c r="K265" s="2">
        <v>23.97</v>
      </c>
      <c r="L265">
        <v>5</v>
      </c>
      <c r="M265" t="str">
        <f>IF(Table1[[#This Row],[Customer Rating]]&gt;=3,"Good","Average")</f>
        <v>Good</v>
      </c>
    </row>
    <row r="266" spans="1:13" x14ac:dyDescent="0.25">
      <c r="A266" t="s">
        <v>316</v>
      </c>
      <c r="B266" s="4">
        <v>45604</v>
      </c>
      <c r="C266" s="4" t="str">
        <f>TEXT(Table1[[#This Row],[Order Date]],"mmm")</f>
        <v>Nov</v>
      </c>
      <c r="D266" s="4" t="str">
        <f>TEXT(Table1[[#This Row],[Order Date]],"yyyy")</f>
        <v>2024</v>
      </c>
      <c r="E266" t="s">
        <v>38</v>
      </c>
      <c r="F266" t="s">
        <v>12</v>
      </c>
      <c r="G266" t="s">
        <v>18</v>
      </c>
      <c r="H266" t="s">
        <v>19</v>
      </c>
      <c r="I266">
        <v>1</v>
      </c>
      <c r="J266" s="2">
        <v>9.99</v>
      </c>
      <c r="K266" s="2">
        <v>9.99</v>
      </c>
      <c r="L266">
        <v>3</v>
      </c>
      <c r="M266" t="str">
        <f>IF(Table1[[#This Row],[Customer Rating]]&gt;=3,"Good","Average")</f>
        <v>Good</v>
      </c>
    </row>
    <row r="267" spans="1:13" x14ac:dyDescent="0.25">
      <c r="A267" t="s">
        <v>317</v>
      </c>
      <c r="B267" s="4">
        <v>45835</v>
      </c>
      <c r="C267" s="4" t="str">
        <f>TEXT(Table1[[#This Row],[Order Date]],"mmm")</f>
        <v>Jun</v>
      </c>
      <c r="D267" s="4" t="str">
        <f>TEXT(Table1[[#This Row],[Order Date]],"yyyy")</f>
        <v>2025</v>
      </c>
      <c r="E267" t="s">
        <v>25</v>
      </c>
      <c r="F267" t="s">
        <v>12</v>
      </c>
      <c r="G267" t="s">
        <v>13</v>
      </c>
      <c r="H267" t="s">
        <v>14</v>
      </c>
      <c r="I267">
        <v>1</v>
      </c>
      <c r="J267" s="2">
        <v>18.989999999999998</v>
      </c>
      <c r="K267" s="2">
        <v>18.989999999999998</v>
      </c>
      <c r="L267">
        <v>5</v>
      </c>
      <c r="M267" t="str">
        <f>IF(Table1[[#This Row],[Customer Rating]]&gt;=3,"Good","Average")</f>
        <v>Good</v>
      </c>
    </row>
    <row r="268" spans="1:13" x14ac:dyDescent="0.25">
      <c r="A268" t="s">
        <v>318</v>
      </c>
      <c r="B268" s="4">
        <v>45939</v>
      </c>
      <c r="C268" s="4" t="str">
        <f>TEXT(Table1[[#This Row],[Order Date]],"mmm")</f>
        <v>Oct</v>
      </c>
      <c r="D268" s="4" t="str">
        <f>TEXT(Table1[[#This Row],[Order Date]],"yyyy")</f>
        <v>2025</v>
      </c>
      <c r="E268" t="s">
        <v>38</v>
      </c>
      <c r="F268" t="s">
        <v>17</v>
      </c>
      <c r="G268" t="s">
        <v>74</v>
      </c>
      <c r="H268" t="s">
        <v>14</v>
      </c>
      <c r="I268">
        <v>1</v>
      </c>
      <c r="J268" s="2">
        <v>14.99</v>
      </c>
      <c r="K268" s="2">
        <v>14.99</v>
      </c>
      <c r="L268">
        <v>5</v>
      </c>
      <c r="M268" t="str">
        <f>IF(Table1[[#This Row],[Customer Rating]]&gt;=3,"Good","Average")</f>
        <v>Good</v>
      </c>
    </row>
    <row r="269" spans="1:13" x14ac:dyDescent="0.25">
      <c r="A269" t="s">
        <v>319</v>
      </c>
      <c r="B269" s="4">
        <v>45975</v>
      </c>
      <c r="C269" s="4" t="str">
        <f>TEXT(Table1[[#This Row],[Order Date]],"mmm")</f>
        <v>Nov</v>
      </c>
      <c r="D269" s="4" t="str">
        <f>TEXT(Table1[[#This Row],[Order Date]],"yyyy")</f>
        <v>2025</v>
      </c>
      <c r="E269" t="s">
        <v>16</v>
      </c>
      <c r="F269" t="s">
        <v>29</v>
      </c>
      <c r="G269" t="s">
        <v>30</v>
      </c>
      <c r="H269" t="s">
        <v>19</v>
      </c>
      <c r="I269">
        <v>4</v>
      </c>
      <c r="J269" s="2">
        <v>7.99</v>
      </c>
      <c r="K269" s="2">
        <v>31.96</v>
      </c>
      <c r="L269">
        <v>4</v>
      </c>
      <c r="M269" t="str">
        <f>IF(Table1[[#This Row],[Customer Rating]]&gt;=3,"Good","Average")</f>
        <v>Good</v>
      </c>
    </row>
    <row r="270" spans="1:13" x14ac:dyDescent="0.25">
      <c r="A270" t="s">
        <v>320</v>
      </c>
      <c r="B270" s="4">
        <v>45661</v>
      </c>
      <c r="C270" s="4" t="str">
        <f>TEXT(Table1[[#This Row],[Order Date]],"mmm")</f>
        <v>Jan</v>
      </c>
      <c r="D270" s="4" t="str">
        <f>TEXT(Table1[[#This Row],[Order Date]],"yyyy")</f>
        <v>2025</v>
      </c>
      <c r="E270" t="s">
        <v>25</v>
      </c>
      <c r="F270" t="s">
        <v>17</v>
      </c>
      <c r="G270" t="s">
        <v>221</v>
      </c>
      <c r="H270" t="s">
        <v>67</v>
      </c>
      <c r="I270">
        <v>4</v>
      </c>
      <c r="J270" s="2">
        <v>9.99</v>
      </c>
      <c r="K270" s="2">
        <v>39.96</v>
      </c>
      <c r="L270">
        <v>4</v>
      </c>
      <c r="M270" t="str">
        <f>IF(Table1[[#This Row],[Customer Rating]]&gt;=3,"Good","Average")</f>
        <v>Good</v>
      </c>
    </row>
    <row r="271" spans="1:13" x14ac:dyDescent="0.25">
      <c r="A271" t="s">
        <v>321</v>
      </c>
      <c r="B271" s="4">
        <v>45942</v>
      </c>
      <c r="C271" s="4" t="str">
        <f>TEXT(Table1[[#This Row],[Order Date]],"mmm")</f>
        <v>Oct</v>
      </c>
      <c r="D271" s="4" t="str">
        <f>TEXT(Table1[[#This Row],[Order Date]],"yyyy")</f>
        <v>2025</v>
      </c>
      <c r="E271" t="s">
        <v>45</v>
      </c>
      <c r="F271" t="s">
        <v>12</v>
      </c>
      <c r="G271" t="s">
        <v>176</v>
      </c>
      <c r="H271" t="s">
        <v>67</v>
      </c>
      <c r="I271">
        <v>1</v>
      </c>
      <c r="J271" s="2">
        <v>11.99</v>
      </c>
      <c r="K271" s="2">
        <v>11.99</v>
      </c>
      <c r="L271">
        <v>3</v>
      </c>
      <c r="M271" t="str">
        <f>IF(Table1[[#This Row],[Customer Rating]]&gt;=3,"Good","Average")</f>
        <v>Good</v>
      </c>
    </row>
    <row r="272" spans="1:13" x14ac:dyDescent="0.25">
      <c r="A272" t="s">
        <v>322</v>
      </c>
      <c r="B272" s="4">
        <v>45788</v>
      </c>
      <c r="C272" s="4" t="str">
        <f>TEXT(Table1[[#This Row],[Order Date]],"mmm")</f>
        <v>May</v>
      </c>
      <c r="D272" s="4" t="str">
        <f>TEXT(Table1[[#This Row],[Order Date]],"yyyy")</f>
        <v>2025</v>
      </c>
      <c r="E272" t="s">
        <v>32</v>
      </c>
      <c r="F272" t="s">
        <v>29</v>
      </c>
      <c r="G272" t="s">
        <v>83</v>
      </c>
      <c r="H272" t="s">
        <v>14</v>
      </c>
      <c r="I272">
        <v>2</v>
      </c>
      <c r="J272" s="2">
        <v>17.989999999999998</v>
      </c>
      <c r="K272" s="2">
        <v>35.979999999999997</v>
      </c>
      <c r="L272">
        <v>4</v>
      </c>
      <c r="M272" t="str">
        <f>IF(Table1[[#This Row],[Customer Rating]]&gt;=3,"Good","Average")</f>
        <v>Good</v>
      </c>
    </row>
    <row r="273" spans="1:13" x14ac:dyDescent="0.25">
      <c r="A273" t="s">
        <v>323</v>
      </c>
      <c r="B273" s="4">
        <v>45864</v>
      </c>
      <c r="C273" s="4" t="str">
        <f>TEXT(Table1[[#This Row],[Order Date]],"mmm")</f>
        <v>Jul</v>
      </c>
      <c r="D273" s="4" t="str">
        <f>TEXT(Table1[[#This Row],[Order Date]],"yyyy")</f>
        <v>2025</v>
      </c>
      <c r="E273" t="s">
        <v>97</v>
      </c>
      <c r="F273" t="s">
        <v>17</v>
      </c>
      <c r="G273" t="s">
        <v>79</v>
      </c>
      <c r="H273" t="s">
        <v>67</v>
      </c>
      <c r="I273">
        <v>3</v>
      </c>
      <c r="J273" s="2">
        <v>10.99</v>
      </c>
      <c r="K273" s="2">
        <v>32.97</v>
      </c>
      <c r="L273">
        <v>4</v>
      </c>
      <c r="M273" t="str">
        <f>IF(Table1[[#This Row],[Customer Rating]]&gt;=3,"Good","Average")</f>
        <v>Good</v>
      </c>
    </row>
    <row r="274" spans="1:13" x14ac:dyDescent="0.25">
      <c r="A274" t="s">
        <v>324</v>
      </c>
      <c r="B274" s="4">
        <v>45297</v>
      </c>
      <c r="C274" s="4" t="str">
        <f>TEXT(Table1[[#This Row],[Order Date]],"mmm")</f>
        <v>Jan</v>
      </c>
      <c r="D274" s="4" t="str">
        <f>TEXT(Table1[[#This Row],[Order Date]],"yyyy")</f>
        <v>2024</v>
      </c>
      <c r="E274" t="s">
        <v>32</v>
      </c>
      <c r="F274" t="s">
        <v>29</v>
      </c>
      <c r="G274" t="s">
        <v>22</v>
      </c>
      <c r="H274" t="s">
        <v>23</v>
      </c>
      <c r="I274">
        <v>2</v>
      </c>
      <c r="J274" s="2">
        <v>8.99</v>
      </c>
      <c r="K274" s="2">
        <v>17.98</v>
      </c>
      <c r="L274">
        <v>3</v>
      </c>
      <c r="M274" t="str">
        <f>IF(Table1[[#This Row],[Customer Rating]]&gt;=3,"Good","Average")</f>
        <v>Good</v>
      </c>
    </row>
    <row r="275" spans="1:13" x14ac:dyDescent="0.25">
      <c r="A275" t="s">
        <v>325</v>
      </c>
      <c r="B275" s="4">
        <v>46006</v>
      </c>
      <c r="C275" s="4" t="str">
        <f>TEXT(Table1[[#This Row],[Order Date]],"mmm")</f>
        <v>Dec</v>
      </c>
      <c r="D275" s="4" t="str">
        <f>TEXT(Table1[[#This Row],[Order Date]],"yyyy")</f>
        <v>2025</v>
      </c>
      <c r="E275" t="s">
        <v>28</v>
      </c>
      <c r="F275" t="s">
        <v>29</v>
      </c>
      <c r="G275" t="s">
        <v>74</v>
      </c>
      <c r="H275" t="s">
        <v>14</v>
      </c>
      <c r="I275">
        <v>1</v>
      </c>
      <c r="J275" s="2">
        <v>14.99</v>
      </c>
      <c r="K275" s="2">
        <v>14.99</v>
      </c>
      <c r="L275">
        <v>4</v>
      </c>
      <c r="M275" t="str">
        <f>IF(Table1[[#This Row],[Customer Rating]]&gt;=3,"Good","Average")</f>
        <v>Good</v>
      </c>
    </row>
    <row r="276" spans="1:13" x14ac:dyDescent="0.25">
      <c r="A276" t="s">
        <v>326</v>
      </c>
      <c r="B276" s="4">
        <v>45346</v>
      </c>
      <c r="C276" s="4" t="str">
        <f>TEXT(Table1[[#This Row],[Order Date]],"mmm")</f>
        <v>Feb</v>
      </c>
      <c r="D276" s="4" t="str">
        <f>TEXT(Table1[[#This Row],[Order Date]],"yyyy")</f>
        <v>2024</v>
      </c>
      <c r="E276" t="s">
        <v>25</v>
      </c>
      <c r="F276" t="s">
        <v>17</v>
      </c>
      <c r="G276" t="s">
        <v>13</v>
      </c>
      <c r="H276" t="s">
        <v>14</v>
      </c>
      <c r="I276">
        <v>3</v>
      </c>
      <c r="J276" s="2">
        <v>18.989999999999998</v>
      </c>
      <c r="K276" s="2">
        <v>56.97</v>
      </c>
      <c r="L276">
        <v>2</v>
      </c>
      <c r="M276" t="str">
        <f>IF(Table1[[#This Row],[Customer Rating]]&gt;=3,"Good","Average")</f>
        <v>Average</v>
      </c>
    </row>
    <row r="277" spans="1:13" x14ac:dyDescent="0.25">
      <c r="A277" t="s">
        <v>327</v>
      </c>
      <c r="B277" s="4">
        <v>45752</v>
      </c>
      <c r="C277" s="4" t="str">
        <f>TEXT(Table1[[#This Row],[Order Date]],"mmm")</f>
        <v>Apr</v>
      </c>
      <c r="D277" s="4" t="str">
        <f>TEXT(Table1[[#This Row],[Order Date]],"yyyy")</f>
        <v>2025</v>
      </c>
      <c r="E277" t="s">
        <v>34</v>
      </c>
      <c r="F277" t="s">
        <v>17</v>
      </c>
      <c r="G277" t="s">
        <v>50</v>
      </c>
      <c r="H277" t="s">
        <v>14</v>
      </c>
      <c r="I277">
        <v>1</v>
      </c>
      <c r="J277" s="2">
        <v>22.99</v>
      </c>
      <c r="K277" s="2">
        <v>22.99</v>
      </c>
      <c r="L277">
        <v>4</v>
      </c>
      <c r="M277" t="str">
        <f>IF(Table1[[#This Row],[Customer Rating]]&gt;=3,"Good","Average")</f>
        <v>Good</v>
      </c>
    </row>
    <row r="278" spans="1:13" x14ac:dyDescent="0.25">
      <c r="A278" t="s">
        <v>328</v>
      </c>
      <c r="B278" s="4">
        <v>45298</v>
      </c>
      <c r="C278" s="4" t="str">
        <f>TEXT(Table1[[#This Row],[Order Date]],"mmm")</f>
        <v>Jan</v>
      </c>
      <c r="D278" s="4" t="str">
        <f>TEXT(Table1[[#This Row],[Order Date]],"yyyy")</f>
        <v>2024</v>
      </c>
      <c r="E278" t="s">
        <v>97</v>
      </c>
      <c r="F278" t="s">
        <v>29</v>
      </c>
      <c r="G278" t="s">
        <v>22</v>
      </c>
      <c r="H278" t="s">
        <v>23</v>
      </c>
      <c r="I278">
        <v>1</v>
      </c>
      <c r="J278" s="2">
        <v>8.99</v>
      </c>
      <c r="K278" s="2">
        <v>8.99</v>
      </c>
      <c r="L278">
        <v>5</v>
      </c>
      <c r="M278" t="str">
        <f>IF(Table1[[#This Row],[Customer Rating]]&gt;=3,"Good","Average")</f>
        <v>Good</v>
      </c>
    </row>
    <row r="279" spans="1:13" x14ac:dyDescent="0.25">
      <c r="A279" t="s">
        <v>329</v>
      </c>
      <c r="B279" s="4">
        <v>45414</v>
      </c>
      <c r="C279" s="4" t="str">
        <f>TEXT(Table1[[#This Row],[Order Date]],"mmm")</f>
        <v>May</v>
      </c>
      <c r="D279" s="4" t="str">
        <f>TEXT(Table1[[#This Row],[Order Date]],"yyyy")</f>
        <v>2024</v>
      </c>
      <c r="E279" t="s">
        <v>21</v>
      </c>
      <c r="F279" t="s">
        <v>12</v>
      </c>
      <c r="G279" t="s">
        <v>26</v>
      </c>
      <c r="H279" t="s">
        <v>19</v>
      </c>
      <c r="I279">
        <v>2</v>
      </c>
      <c r="J279" s="2">
        <v>3.49</v>
      </c>
      <c r="K279" s="2">
        <v>6.98</v>
      </c>
      <c r="L279">
        <v>5</v>
      </c>
      <c r="M279" t="str">
        <f>IF(Table1[[#This Row],[Customer Rating]]&gt;=3,"Good","Average")</f>
        <v>Good</v>
      </c>
    </row>
    <row r="280" spans="1:13" x14ac:dyDescent="0.25">
      <c r="A280" t="s">
        <v>330</v>
      </c>
      <c r="B280" s="4">
        <v>45697</v>
      </c>
      <c r="C280" s="4" t="str">
        <f>TEXT(Table1[[#This Row],[Order Date]],"mmm")</f>
        <v>Feb</v>
      </c>
      <c r="D280" s="4" t="str">
        <f>TEXT(Table1[[#This Row],[Order Date]],"yyyy")</f>
        <v>2025</v>
      </c>
      <c r="E280" t="s">
        <v>21</v>
      </c>
      <c r="F280" t="s">
        <v>17</v>
      </c>
      <c r="G280" t="s">
        <v>119</v>
      </c>
      <c r="H280" t="s">
        <v>19</v>
      </c>
      <c r="I280">
        <v>2</v>
      </c>
      <c r="J280" s="2">
        <v>4.99</v>
      </c>
      <c r="K280" s="2">
        <v>9.98</v>
      </c>
      <c r="L280">
        <v>4</v>
      </c>
      <c r="M280" t="str">
        <f>IF(Table1[[#This Row],[Customer Rating]]&gt;=3,"Good","Average")</f>
        <v>Good</v>
      </c>
    </row>
    <row r="281" spans="1:13" x14ac:dyDescent="0.25">
      <c r="A281" t="s">
        <v>331</v>
      </c>
      <c r="B281" s="4">
        <v>45928</v>
      </c>
      <c r="C281" s="4" t="str">
        <f>TEXT(Table1[[#This Row],[Order Date]],"mmm")</f>
        <v>Sep</v>
      </c>
      <c r="D281" s="4" t="str">
        <f>TEXT(Table1[[#This Row],[Order Date]],"yyyy")</f>
        <v>2025</v>
      </c>
      <c r="E281" t="s">
        <v>11</v>
      </c>
      <c r="F281" t="s">
        <v>12</v>
      </c>
      <c r="G281" t="s">
        <v>13</v>
      </c>
      <c r="H281" t="s">
        <v>14</v>
      </c>
      <c r="I281">
        <v>1</v>
      </c>
      <c r="J281" s="2">
        <v>18.989999999999998</v>
      </c>
      <c r="K281" s="2">
        <v>18.989999999999998</v>
      </c>
      <c r="L281">
        <v>4</v>
      </c>
      <c r="M281" t="str">
        <f>IF(Table1[[#This Row],[Customer Rating]]&gt;=3,"Good","Average")</f>
        <v>Good</v>
      </c>
    </row>
    <row r="282" spans="1:13" x14ac:dyDescent="0.25">
      <c r="A282" t="s">
        <v>332</v>
      </c>
      <c r="B282" s="4">
        <v>45417</v>
      </c>
      <c r="C282" s="4" t="str">
        <f>TEXT(Table1[[#This Row],[Order Date]],"mmm")</f>
        <v>May</v>
      </c>
      <c r="D282" s="4" t="str">
        <f>TEXT(Table1[[#This Row],[Order Date]],"yyyy")</f>
        <v>2024</v>
      </c>
      <c r="E282" t="s">
        <v>97</v>
      </c>
      <c r="F282" t="s">
        <v>12</v>
      </c>
      <c r="G282" t="s">
        <v>83</v>
      </c>
      <c r="H282" t="s">
        <v>14</v>
      </c>
      <c r="I282">
        <v>3</v>
      </c>
      <c r="J282" s="2">
        <v>17.989999999999998</v>
      </c>
      <c r="K282" s="2">
        <v>53.97</v>
      </c>
      <c r="L282">
        <v>5</v>
      </c>
      <c r="M282" t="str">
        <f>IF(Table1[[#This Row],[Customer Rating]]&gt;=3,"Good","Average")</f>
        <v>Good</v>
      </c>
    </row>
    <row r="283" spans="1:13" x14ac:dyDescent="0.25">
      <c r="A283" t="s">
        <v>333</v>
      </c>
      <c r="B283" s="4">
        <v>45905</v>
      </c>
      <c r="C283" s="4" t="str">
        <f>TEXT(Table1[[#This Row],[Order Date]],"mmm")</f>
        <v>Sep</v>
      </c>
      <c r="D283" s="4" t="str">
        <f>TEXT(Table1[[#This Row],[Order Date]],"yyyy")</f>
        <v>2025</v>
      </c>
      <c r="E283" t="s">
        <v>34</v>
      </c>
      <c r="F283" t="s">
        <v>17</v>
      </c>
      <c r="G283" t="s">
        <v>13</v>
      </c>
      <c r="H283" t="s">
        <v>14</v>
      </c>
      <c r="I283">
        <v>1</v>
      </c>
      <c r="J283" s="2">
        <v>18.989999999999998</v>
      </c>
      <c r="K283" s="2">
        <v>18.989999999999998</v>
      </c>
      <c r="L283">
        <v>4</v>
      </c>
      <c r="M283" t="str">
        <f>IF(Table1[[#This Row],[Customer Rating]]&gt;=3,"Good","Average")</f>
        <v>Good</v>
      </c>
    </row>
    <row r="284" spans="1:13" x14ac:dyDescent="0.25">
      <c r="A284" t="s">
        <v>334</v>
      </c>
      <c r="B284" s="4">
        <v>45401</v>
      </c>
      <c r="C284" s="4" t="str">
        <f>TEXT(Table1[[#This Row],[Order Date]],"mmm")</f>
        <v>Apr</v>
      </c>
      <c r="D284" s="4" t="str">
        <f>TEXT(Table1[[#This Row],[Order Date]],"yyyy")</f>
        <v>2024</v>
      </c>
      <c r="E284" t="s">
        <v>16</v>
      </c>
      <c r="F284" t="s">
        <v>17</v>
      </c>
      <c r="G284" t="s">
        <v>13</v>
      </c>
      <c r="H284" t="s">
        <v>14</v>
      </c>
      <c r="I284">
        <v>2</v>
      </c>
      <c r="J284" s="2">
        <v>18.989999999999998</v>
      </c>
      <c r="K284" s="2">
        <v>37.979999999999997</v>
      </c>
      <c r="L284">
        <v>4</v>
      </c>
      <c r="M284" t="str">
        <f>IF(Table1[[#This Row],[Customer Rating]]&gt;=3,"Good","Average")</f>
        <v>Good</v>
      </c>
    </row>
    <row r="285" spans="1:13" x14ac:dyDescent="0.25">
      <c r="A285" t="s">
        <v>335</v>
      </c>
      <c r="B285" s="4">
        <v>45633</v>
      </c>
      <c r="C285" s="4" t="str">
        <f>TEXT(Table1[[#This Row],[Order Date]],"mmm")</f>
        <v>Dec</v>
      </c>
      <c r="D285" s="4" t="str">
        <f>TEXT(Table1[[#This Row],[Order Date]],"yyyy")</f>
        <v>2024</v>
      </c>
      <c r="E285" t="s">
        <v>16</v>
      </c>
      <c r="F285" t="s">
        <v>12</v>
      </c>
      <c r="G285" t="s">
        <v>55</v>
      </c>
      <c r="H285" t="s">
        <v>23</v>
      </c>
      <c r="I285">
        <v>3</v>
      </c>
      <c r="J285" s="2">
        <v>10.99</v>
      </c>
      <c r="K285" s="2">
        <v>32.97</v>
      </c>
      <c r="L285">
        <v>4</v>
      </c>
      <c r="M285" t="str">
        <f>IF(Table1[[#This Row],[Customer Rating]]&gt;=3,"Good","Average")</f>
        <v>Good</v>
      </c>
    </row>
    <row r="286" spans="1:13" x14ac:dyDescent="0.25">
      <c r="A286" t="s">
        <v>336</v>
      </c>
      <c r="B286" s="4">
        <v>45549</v>
      </c>
      <c r="C286" s="4" t="str">
        <f>TEXT(Table1[[#This Row],[Order Date]],"mmm")</f>
        <v>Sep</v>
      </c>
      <c r="D286" s="4" t="str">
        <f>TEXT(Table1[[#This Row],[Order Date]],"yyyy")</f>
        <v>2024</v>
      </c>
      <c r="E286" t="s">
        <v>25</v>
      </c>
      <c r="F286" t="s">
        <v>17</v>
      </c>
      <c r="G286" t="s">
        <v>43</v>
      </c>
      <c r="H286" t="s">
        <v>23</v>
      </c>
      <c r="I286">
        <v>1</v>
      </c>
      <c r="J286" s="2">
        <v>11.99</v>
      </c>
      <c r="K286" s="2">
        <v>11.99</v>
      </c>
      <c r="L286">
        <v>4</v>
      </c>
      <c r="M286" t="str">
        <f>IF(Table1[[#This Row],[Customer Rating]]&gt;=3,"Good","Average")</f>
        <v>Good</v>
      </c>
    </row>
    <row r="287" spans="1:13" x14ac:dyDescent="0.25">
      <c r="A287" t="s">
        <v>337</v>
      </c>
      <c r="B287" s="4">
        <v>45535</v>
      </c>
      <c r="C287" s="4" t="str">
        <f>TEXT(Table1[[#This Row],[Order Date]],"mmm")</f>
        <v>Aug</v>
      </c>
      <c r="D287" s="4" t="str">
        <f>TEXT(Table1[[#This Row],[Order Date]],"yyyy")</f>
        <v>2024</v>
      </c>
      <c r="E287" t="s">
        <v>11</v>
      </c>
      <c r="F287" t="s">
        <v>12</v>
      </c>
      <c r="G287" t="s">
        <v>39</v>
      </c>
      <c r="H287" t="s">
        <v>14</v>
      </c>
      <c r="I287">
        <v>1</v>
      </c>
      <c r="J287" s="2">
        <v>24.99</v>
      </c>
      <c r="K287" s="2">
        <v>24.99</v>
      </c>
      <c r="L287">
        <v>3</v>
      </c>
      <c r="M287" t="str">
        <f>IF(Table1[[#This Row],[Customer Rating]]&gt;=3,"Good","Average")</f>
        <v>Good</v>
      </c>
    </row>
    <row r="288" spans="1:13" x14ac:dyDescent="0.25">
      <c r="A288" t="s">
        <v>338</v>
      </c>
      <c r="B288" s="4">
        <v>45397</v>
      </c>
      <c r="C288" s="4" t="str">
        <f>TEXT(Table1[[#This Row],[Order Date]],"mmm")</f>
        <v>Apr</v>
      </c>
      <c r="D288" s="4" t="str">
        <f>TEXT(Table1[[#This Row],[Order Date]],"yyyy")</f>
        <v>2024</v>
      </c>
      <c r="E288" t="s">
        <v>11</v>
      </c>
      <c r="F288" t="s">
        <v>17</v>
      </c>
      <c r="G288" t="s">
        <v>112</v>
      </c>
      <c r="H288" t="s">
        <v>19</v>
      </c>
      <c r="I288">
        <v>1</v>
      </c>
      <c r="J288" s="2">
        <v>5.99</v>
      </c>
      <c r="K288" s="2">
        <v>5.99</v>
      </c>
      <c r="L288">
        <v>4</v>
      </c>
      <c r="M288" t="str">
        <f>IF(Table1[[#This Row],[Customer Rating]]&gt;=3,"Good","Average")</f>
        <v>Good</v>
      </c>
    </row>
    <row r="289" spans="1:13" x14ac:dyDescent="0.25">
      <c r="A289" t="s">
        <v>339</v>
      </c>
      <c r="B289" s="4">
        <v>45757</v>
      </c>
      <c r="C289" s="4" t="str">
        <f>TEXT(Table1[[#This Row],[Order Date]],"mmm")</f>
        <v>Apr</v>
      </c>
      <c r="D289" s="4" t="str">
        <f>TEXT(Table1[[#This Row],[Order Date]],"yyyy")</f>
        <v>2025</v>
      </c>
      <c r="E289" t="s">
        <v>25</v>
      </c>
      <c r="F289" t="s">
        <v>17</v>
      </c>
      <c r="G289" t="s">
        <v>46</v>
      </c>
      <c r="H289" t="s">
        <v>14</v>
      </c>
      <c r="I289">
        <v>1</v>
      </c>
      <c r="J289" s="2">
        <v>32.99</v>
      </c>
      <c r="K289" s="2">
        <v>32.99</v>
      </c>
      <c r="L289">
        <v>4</v>
      </c>
      <c r="M289" t="str">
        <f>IF(Table1[[#This Row],[Customer Rating]]&gt;=3,"Good","Average")</f>
        <v>Good</v>
      </c>
    </row>
    <row r="290" spans="1:13" x14ac:dyDescent="0.25">
      <c r="A290" t="s">
        <v>340</v>
      </c>
      <c r="B290" s="4">
        <v>45691</v>
      </c>
      <c r="C290" s="4" t="str">
        <f>TEXT(Table1[[#This Row],[Order Date]],"mmm")</f>
        <v>Feb</v>
      </c>
      <c r="D290" s="4" t="str">
        <f>TEXT(Table1[[#This Row],[Order Date]],"yyyy")</f>
        <v>2025</v>
      </c>
      <c r="E290" t="s">
        <v>16</v>
      </c>
      <c r="F290" t="s">
        <v>12</v>
      </c>
      <c r="G290" t="s">
        <v>46</v>
      </c>
      <c r="H290" t="s">
        <v>14</v>
      </c>
      <c r="I290">
        <v>1</v>
      </c>
      <c r="J290" s="2">
        <v>32.99</v>
      </c>
      <c r="K290" s="2">
        <v>32.99</v>
      </c>
      <c r="L290">
        <v>4</v>
      </c>
      <c r="M290" t="str">
        <f>IF(Table1[[#This Row],[Customer Rating]]&gt;=3,"Good","Average")</f>
        <v>Good</v>
      </c>
    </row>
    <row r="291" spans="1:13" x14ac:dyDescent="0.25">
      <c r="A291" t="s">
        <v>341</v>
      </c>
      <c r="B291" s="4">
        <v>45452</v>
      </c>
      <c r="C291" s="4" t="str">
        <f>TEXT(Table1[[#This Row],[Order Date]],"mmm")</f>
        <v>Jun</v>
      </c>
      <c r="D291" s="4" t="str">
        <f>TEXT(Table1[[#This Row],[Order Date]],"yyyy")</f>
        <v>2024</v>
      </c>
      <c r="E291" t="s">
        <v>38</v>
      </c>
      <c r="F291" t="s">
        <v>29</v>
      </c>
      <c r="G291" t="s">
        <v>112</v>
      </c>
      <c r="H291" t="s">
        <v>19</v>
      </c>
      <c r="I291">
        <v>1</v>
      </c>
      <c r="J291" s="2">
        <v>5.99</v>
      </c>
      <c r="K291" s="2">
        <v>5.99</v>
      </c>
      <c r="L291">
        <v>5</v>
      </c>
      <c r="M291" t="str">
        <f>IF(Table1[[#This Row],[Customer Rating]]&gt;=3,"Good","Average")</f>
        <v>Good</v>
      </c>
    </row>
    <row r="292" spans="1:13" x14ac:dyDescent="0.25">
      <c r="A292" t="s">
        <v>342</v>
      </c>
      <c r="B292" s="4">
        <v>45766</v>
      </c>
      <c r="C292" s="4" t="str">
        <f>TEXT(Table1[[#This Row],[Order Date]],"mmm")</f>
        <v>Apr</v>
      </c>
      <c r="D292" s="4" t="str">
        <f>TEXT(Table1[[#This Row],[Order Date]],"yyyy")</f>
        <v>2025</v>
      </c>
      <c r="E292" t="s">
        <v>38</v>
      </c>
      <c r="F292" t="s">
        <v>12</v>
      </c>
      <c r="G292" t="s">
        <v>62</v>
      </c>
      <c r="H292" t="s">
        <v>23</v>
      </c>
      <c r="I292">
        <v>1</v>
      </c>
      <c r="J292" s="2">
        <v>9.99</v>
      </c>
      <c r="K292" s="2">
        <v>9.99</v>
      </c>
      <c r="L292">
        <v>4</v>
      </c>
      <c r="M292" t="str">
        <f>IF(Table1[[#This Row],[Customer Rating]]&gt;=3,"Good","Average")</f>
        <v>Good</v>
      </c>
    </row>
    <row r="293" spans="1:13" x14ac:dyDescent="0.25">
      <c r="A293" t="s">
        <v>343</v>
      </c>
      <c r="B293" s="4">
        <v>45897</v>
      </c>
      <c r="C293" s="4" t="str">
        <f>TEXT(Table1[[#This Row],[Order Date]],"mmm")</f>
        <v>Aug</v>
      </c>
      <c r="D293" s="4" t="str">
        <f>TEXT(Table1[[#This Row],[Order Date]],"yyyy")</f>
        <v>2025</v>
      </c>
      <c r="E293" t="s">
        <v>16</v>
      </c>
      <c r="F293" t="s">
        <v>12</v>
      </c>
      <c r="G293" t="s">
        <v>66</v>
      </c>
      <c r="H293" t="s">
        <v>67</v>
      </c>
      <c r="I293">
        <v>1</v>
      </c>
      <c r="J293" s="2">
        <v>7.99</v>
      </c>
      <c r="K293" s="2">
        <v>7.99</v>
      </c>
      <c r="L293">
        <v>2</v>
      </c>
      <c r="M293" t="str">
        <f>IF(Table1[[#This Row],[Customer Rating]]&gt;=3,"Good","Average")</f>
        <v>Average</v>
      </c>
    </row>
    <row r="294" spans="1:13" x14ac:dyDescent="0.25">
      <c r="A294" t="s">
        <v>344</v>
      </c>
      <c r="B294" s="4">
        <v>45311</v>
      </c>
      <c r="C294" s="4" t="str">
        <f>TEXT(Table1[[#This Row],[Order Date]],"mmm")</f>
        <v>Jan</v>
      </c>
      <c r="D294" s="4" t="str">
        <f>TEXT(Table1[[#This Row],[Order Date]],"yyyy")</f>
        <v>2024</v>
      </c>
      <c r="E294" t="s">
        <v>45</v>
      </c>
      <c r="F294" t="s">
        <v>29</v>
      </c>
      <c r="G294" t="s">
        <v>50</v>
      </c>
      <c r="H294" t="s">
        <v>14</v>
      </c>
      <c r="I294">
        <v>1</v>
      </c>
      <c r="J294" s="2">
        <v>22.99</v>
      </c>
      <c r="K294" s="2">
        <v>22.99</v>
      </c>
      <c r="L294">
        <v>5</v>
      </c>
      <c r="M294" t="str">
        <f>IF(Table1[[#This Row],[Customer Rating]]&gt;=3,"Good","Average")</f>
        <v>Good</v>
      </c>
    </row>
    <row r="295" spans="1:13" x14ac:dyDescent="0.25">
      <c r="A295" t="s">
        <v>345</v>
      </c>
      <c r="B295" s="4">
        <v>45823</v>
      </c>
      <c r="C295" s="4" t="str">
        <f>TEXT(Table1[[#This Row],[Order Date]],"mmm")</f>
        <v>Jun</v>
      </c>
      <c r="D295" s="4" t="str">
        <f>TEXT(Table1[[#This Row],[Order Date]],"yyyy")</f>
        <v>2025</v>
      </c>
      <c r="E295" t="s">
        <v>21</v>
      </c>
      <c r="F295" t="s">
        <v>12</v>
      </c>
      <c r="G295" t="s">
        <v>57</v>
      </c>
      <c r="H295" t="s">
        <v>14</v>
      </c>
      <c r="I295">
        <v>2</v>
      </c>
      <c r="J295" s="2">
        <v>15.99</v>
      </c>
      <c r="K295" s="2">
        <v>31.98</v>
      </c>
      <c r="L295">
        <v>4</v>
      </c>
      <c r="M295" t="str">
        <f>IF(Table1[[#This Row],[Customer Rating]]&gt;=3,"Good","Average")</f>
        <v>Good</v>
      </c>
    </row>
    <row r="296" spans="1:13" x14ac:dyDescent="0.25">
      <c r="A296" t="s">
        <v>346</v>
      </c>
      <c r="B296" s="4">
        <v>45365</v>
      </c>
      <c r="C296" s="4" t="str">
        <f>TEXT(Table1[[#This Row],[Order Date]],"mmm")</f>
        <v>Mar</v>
      </c>
      <c r="D296" s="4" t="str">
        <f>TEXT(Table1[[#This Row],[Order Date]],"yyyy")</f>
        <v>2024</v>
      </c>
      <c r="E296" t="s">
        <v>16</v>
      </c>
      <c r="F296" t="s">
        <v>12</v>
      </c>
      <c r="G296" t="s">
        <v>39</v>
      </c>
      <c r="H296" t="s">
        <v>14</v>
      </c>
      <c r="I296">
        <v>2</v>
      </c>
      <c r="J296" s="2">
        <v>24.99</v>
      </c>
      <c r="K296" s="2">
        <v>49.98</v>
      </c>
      <c r="L296">
        <v>4</v>
      </c>
      <c r="M296" t="str">
        <f>IF(Table1[[#This Row],[Customer Rating]]&gt;=3,"Good","Average")</f>
        <v>Good</v>
      </c>
    </row>
    <row r="297" spans="1:13" x14ac:dyDescent="0.25">
      <c r="A297" t="s">
        <v>347</v>
      </c>
      <c r="B297" s="4">
        <v>45327</v>
      </c>
      <c r="C297" s="4" t="str">
        <f>TEXT(Table1[[#This Row],[Order Date]],"mmm")</f>
        <v>Feb</v>
      </c>
      <c r="D297" s="4" t="str">
        <f>TEXT(Table1[[#This Row],[Order Date]],"yyyy")</f>
        <v>2024</v>
      </c>
      <c r="E297" t="s">
        <v>16</v>
      </c>
      <c r="F297" t="s">
        <v>17</v>
      </c>
      <c r="G297" t="s">
        <v>22</v>
      </c>
      <c r="H297" t="s">
        <v>23</v>
      </c>
      <c r="I297">
        <v>1</v>
      </c>
      <c r="J297" s="2">
        <v>8.99</v>
      </c>
      <c r="K297" s="2">
        <v>8.99</v>
      </c>
      <c r="L297">
        <v>3</v>
      </c>
      <c r="M297" t="str">
        <f>IF(Table1[[#This Row],[Customer Rating]]&gt;=3,"Good","Average")</f>
        <v>Good</v>
      </c>
    </row>
    <row r="298" spans="1:13" x14ac:dyDescent="0.25">
      <c r="A298" t="s">
        <v>348</v>
      </c>
      <c r="B298" s="4">
        <v>45688</v>
      </c>
      <c r="C298" s="4" t="str">
        <f>TEXT(Table1[[#This Row],[Order Date]],"mmm")</f>
        <v>Jan</v>
      </c>
      <c r="D298" s="4" t="str">
        <f>TEXT(Table1[[#This Row],[Order Date]],"yyyy")</f>
        <v>2025</v>
      </c>
      <c r="E298" t="s">
        <v>25</v>
      </c>
      <c r="F298" t="s">
        <v>29</v>
      </c>
      <c r="G298" t="s">
        <v>46</v>
      </c>
      <c r="H298" t="s">
        <v>14</v>
      </c>
      <c r="I298">
        <v>3</v>
      </c>
      <c r="J298" s="2">
        <v>32.99</v>
      </c>
      <c r="K298" s="2">
        <v>98.97</v>
      </c>
      <c r="L298">
        <v>3</v>
      </c>
      <c r="M298" t="str">
        <f>IF(Table1[[#This Row],[Customer Rating]]&gt;=3,"Good","Average")</f>
        <v>Good</v>
      </c>
    </row>
    <row r="299" spans="1:13" x14ac:dyDescent="0.25">
      <c r="A299" t="s">
        <v>349</v>
      </c>
      <c r="B299" s="4">
        <v>45569</v>
      </c>
      <c r="C299" s="4" t="str">
        <f>TEXT(Table1[[#This Row],[Order Date]],"mmm")</f>
        <v>Oct</v>
      </c>
      <c r="D299" s="4" t="str">
        <f>TEXT(Table1[[#This Row],[Order Date]],"yyyy")</f>
        <v>2024</v>
      </c>
      <c r="E299" t="s">
        <v>34</v>
      </c>
      <c r="F299" t="s">
        <v>12</v>
      </c>
      <c r="G299" t="s">
        <v>46</v>
      </c>
      <c r="H299" t="s">
        <v>14</v>
      </c>
      <c r="I299">
        <v>1</v>
      </c>
      <c r="J299" s="2">
        <v>32.99</v>
      </c>
      <c r="K299" s="2">
        <v>32.99</v>
      </c>
      <c r="L299">
        <v>5</v>
      </c>
      <c r="M299" t="str">
        <f>IF(Table1[[#This Row],[Customer Rating]]&gt;=3,"Good","Average")</f>
        <v>Good</v>
      </c>
    </row>
    <row r="300" spans="1:13" x14ac:dyDescent="0.25">
      <c r="A300" t="s">
        <v>350</v>
      </c>
      <c r="B300" s="4">
        <v>45837</v>
      </c>
      <c r="C300" s="4" t="str">
        <f>TEXT(Table1[[#This Row],[Order Date]],"mmm")</f>
        <v>Jun</v>
      </c>
      <c r="D300" s="4" t="str">
        <f>TEXT(Table1[[#This Row],[Order Date]],"yyyy")</f>
        <v>2025</v>
      </c>
      <c r="E300" t="s">
        <v>32</v>
      </c>
      <c r="F300" t="s">
        <v>29</v>
      </c>
      <c r="G300" t="s">
        <v>50</v>
      </c>
      <c r="H300" t="s">
        <v>14</v>
      </c>
      <c r="I300">
        <v>3</v>
      </c>
      <c r="J300" s="2">
        <v>22.99</v>
      </c>
      <c r="K300" s="2">
        <v>68.97</v>
      </c>
      <c r="L300">
        <v>4</v>
      </c>
      <c r="M300" t="str">
        <f>IF(Table1[[#This Row],[Customer Rating]]&gt;=3,"Good","Average")</f>
        <v>Good</v>
      </c>
    </row>
    <row r="301" spans="1:13" x14ac:dyDescent="0.25">
      <c r="A301" t="s">
        <v>351</v>
      </c>
      <c r="B301" s="4">
        <v>46020</v>
      </c>
      <c r="C301" s="4" t="str">
        <f>TEXT(Table1[[#This Row],[Order Date]],"mmm")</f>
        <v>Dec</v>
      </c>
      <c r="D301" s="4" t="str">
        <f>TEXT(Table1[[#This Row],[Order Date]],"yyyy")</f>
        <v>2025</v>
      </c>
      <c r="E301" t="s">
        <v>28</v>
      </c>
      <c r="F301" t="s">
        <v>29</v>
      </c>
      <c r="G301" t="s">
        <v>46</v>
      </c>
      <c r="H301" t="s">
        <v>14</v>
      </c>
      <c r="I301">
        <v>1</v>
      </c>
      <c r="J301" s="2">
        <v>32.99</v>
      </c>
      <c r="K301" s="2">
        <v>32.99</v>
      </c>
      <c r="L301">
        <v>4</v>
      </c>
      <c r="M301" t="str">
        <f>IF(Table1[[#This Row],[Customer Rating]]&gt;=3,"Good","Average")</f>
        <v>Good</v>
      </c>
    </row>
    <row r="302" spans="1:13" x14ac:dyDescent="0.25">
      <c r="A302" t="s">
        <v>352</v>
      </c>
      <c r="B302" s="4">
        <v>45654</v>
      </c>
      <c r="C302" s="4" t="str">
        <f>TEXT(Table1[[#This Row],[Order Date]],"mmm")</f>
        <v>Dec</v>
      </c>
      <c r="D302" s="4" t="str">
        <f>TEXT(Table1[[#This Row],[Order Date]],"yyyy")</f>
        <v>2024</v>
      </c>
      <c r="E302" t="s">
        <v>38</v>
      </c>
      <c r="F302" t="s">
        <v>17</v>
      </c>
      <c r="G302" t="s">
        <v>50</v>
      </c>
      <c r="H302" t="s">
        <v>14</v>
      </c>
      <c r="I302">
        <v>3</v>
      </c>
      <c r="J302" s="2">
        <v>22.99</v>
      </c>
      <c r="K302" s="2">
        <v>68.97</v>
      </c>
      <c r="L302">
        <v>5</v>
      </c>
      <c r="M302" t="str">
        <f>IF(Table1[[#This Row],[Customer Rating]]&gt;=3,"Good","Average")</f>
        <v>Good</v>
      </c>
    </row>
    <row r="303" spans="1:13" x14ac:dyDescent="0.25">
      <c r="A303" t="s">
        <v>353</v>
      </c>
      <c r="B303" s="4">
        <v>46006</v>
      </c>
      <c r="C303" s="4" t="str">
        <f>TEXT(Table1[[#This Row],[Order Date]],"mmm")</f>
        <v>Dec</v>
      </c>
      <c r="D303" s="4" t="str">
        <f>TEXT(Table1[[#This Row],[Order Date]],"yyyy")</f>
        <v>2025</v>
      </c>
      <c r="E303" t="s">
        <v>34</v>
      </c>
      <c r="F303" t="s">
        <v>29</v>
      </c>
      <c r="G303" t="s">
        <v>62</v>
      </c>
      <c r="H303" t="s">
        <v>23</v>
      </c>
      <c r="I303">
        <v>2</v>
      </c>
      <c r="J303" s="2">
        <v>9.99</v>
      </c>
      <c r="K303" s="2">
        <v>19.98</v>
      </c>
      <c r="L303">
        <v>2</v>
      </c>
      <c r="M303" t="str">
        <f>IF(Table1[[#This Row],[Customer Rating]]&gt;=3,"Good","Average")</f>
        <v>Average</v>
      </c>
    </row>
    <row r="304" spans="1:13" x14ac:dyDescent="0.25">
      <c r="A304" t="s">
        <v>354</v>
      </c>
      <c r="B304" s="4">
        <v>46020</v>
      </c>
      <c r="C304" s="4" t="str">
        <f>TEXT(Table1[[#This Row],[Order Date]],"mmm")</f>
        <v>Dec</v>
      </c>
      <c r="D304" s="4" t="str">
        <f>TEXT(Table1[[#This Row],[Order Date]],"yyyy")</f>
        <v>2025</v>
      </c>
      <c r="E304" t="s">
        <v>21</v>
      </c>
      <c r="F304" t="s">
        <v>12</v>
      </c>
      <c r="G304" t="s">
        <v>57</v>
      </c>
      <c r="H304" t="s">
        <v>14</v>
      </c>
      <c r="I304">
        <v>2</v>
      </c>
      <c r="J304" s="2">
        <v>15.99</v>
      </c>
      <c r="K304" s="2">
        <v>31.98</v>
      </c>
      <c r="L304">
        <v>3</v>
      </c>
      <c r="M304" t="str">
        <f>IF(Table1[[#This Row],[Customer Rating]]&gt;=3,"Good","Average")</f>
        <v>Good</v>
      </c>
    </row>
    <row r="305" spans="1:13" x14ac:dyDescent="0.25">
      <c r="A305" t="s">
        <v>355</v>
      </c>
      <c r="B305" s="4">
        <v>45681</v>
      </c>
      <c r="C305" s="4" t="str">
        <f>TEXT(Table1[[#This Row],[Order Date]],"mmm")</f>
        <v>Jan</v>
      </c>
      <c r="D305" s="4" t="str">
        <f>TEXT(Table1[[#This Row],[Order Date]],"yyyy")</f>
        <v>2025</v>
      </c>
      <c r="E305" t="s">
        <v>11</v>
      </c>
      <c r="F305" t="s">
        <v>17</v>
      </c>
      <c r="G305" t="s">
        <v>39</v>
      </c>
      <c r="H305" t="s">
        <v>14</v>
      </c>
      <c r="I305">
        <v>3</v>
      </c>
      <c r="J305" s="2">
        <v>24.99</v>
      </c>
      <c r="K305" s="2">
        <v>74.97</v>
      </c>
      <c r="L305">
        <v>4</v>
      </c>
      <c r="M305" t="str">
        <f>IF(Table1[[#This Row],[Customer Rating]]&gt;=3,"Good","Average")</f>
        <v>Good</v>
      </c>
    </row>
    <row r="306" spans="1:13" x14ac:dyDescent="0.25">
      <c r="A306" t="s">
        <v>356</v>
      </c>
      <c r="B306" s="4">
        <v>45877</v>
      </c>
      <c r="C306" s="4" t="str">
        <f>TEXT(Table1[[#This Row],[Order Date]],"mmm")</f>
        <v>Aug</v>
      </c>
      <c r="D306" s="4" t="str">
        <f>TEXT(Table1[[#This Row],[Order Date]],"yyyy")</f>
        <v>2025</v>
      </c>
      <c r="E306" t="s">
        <v>21</v>
      </c>
      <c r="F306" t="s">
        <v>29</v>
      </c>
      <c r="G306" t="s">
        <v>18</v>
      </c>
      <c r="H306" t="s">
        <v>19</v>
      </c>
      <c r="I306">
        <v>1</v>
      </c>
      <c r="J306" s="2">
        <v>9.99</v>
      </c>
      <c r="K306" s="2">
        <v>9.99</v>
      </c>
      <c r="L306">
        <v>4</v>
      </c>
      <c r="M306" t="str">
        <f>IF(Table1[[#This Row],[Customer Rating]]&gt;=3,"Good","Average")</f>
        <v>Good</v>
      </c>
    </row>
    <row r="307" spans="1:13" x14ac:dyDescent="0.25">
      <c r="A307" t="s">
        <v>357</v>
      </c>
      <c r="B307" s="4">
        <v>45821</v>
      </c>
      <c r="C307" s="4" t="str">
        <f>TEXT(Table1[[#This Row],[Order Date]],"mmm")</f>
        <v>Jun</v>
      </c>
      <c r="D307" s="4" t="str">
        <f>TEXT(Table1[[#This Row],[Order Date]],"yyyy")</f>
        <v>2025</v>
      </c>
      <c r="E307" t="s">
        <v>34</v>
      </c>
      <c r="F307" t="s">
        <v>12</v>
      </c>
      <c r="G307" t="s">
        <v>55</v>
      </c>
      <c r="H307" t="s">
        <v>23</v>
      </c>
      <c r="I307">
        <v>4</v>
      </c>
      <c r="J307" s="2">
        <v>10.99</v>
      </c>
      <c r="K307" s="2">
        <v>43.96</v>
      </c>
      <c r="L307">
        <v>5</v>
      </c>
      <c r="M307" t="str">
        <f>IF(Table1[[#This Row],[Customer Rating]]&gt;=3,"Good","Average")</f>
        <v>Good</v>
      </c>
    </row>
    <row r="308" spans="1:13" x14ac:dyDescent="0.25">
      <c r="A308" t="s">
        <v>358</v>
      </c>
      <c r="B308" s="4">
        <v>45989</v>
      </c>
      <c r="C308" s="4" t="str">
        <f>TEXT(Table1[[#This Row],[Order Date]],"mmm")</f>
        <v>Nov</v>
      </c>
      <c r="D308" s="4" t="str">
        <f>TEXT(Table1[[#This Row],[Order Date]],"yyyy")</f>
        <v>2025</v>
      </c>
      <c r="E308" t="s">
        <v>38</v>
      </c>
      <c r="F308" t="s">
        <v>12</v>
      </c>
      <c r="G308" t="s">
        <v>13</v>
      </c>
      <c r="H308" t="s">
        <v>14</v>
      </c>
      <c r="I308">
        <v>1</v>
      </c>
      <c r="J308" s="2">
        <v>18.989999999999998</v>
      </c>
      <c r="K308" s="2">
        <v>18.989999999999998</v>
      </c>
      <c r="L308">
        <v>5</v>
      </c>
      <c r="M308" t="str">
        <f>IF(Table1[[#This Row],[Customer Rating]]&gt;=3,"Good","Average")</f>
        <v>Good</v>
      </c>
    </row>
    <row r="309" spans="1:13" x14ac:dyDescent="0.25">
      <c r="A309" t="s">
        <v>359</v>
      </c>
      <c r="B309" s="4">
        <v>45615</v>
      </c>
      <c r="C309" s="4" t="str">
        <f>TEXT(Table1[[#This Row],[Order Date]],"mmm")</f>
        <v>Nov</v>
      </c>
      <c r="D309" s="4" t="str">
        <f>TEXT(Table1[[#This Row],[Order Date]],"yyyy")</f>
        <v>2024</v>
      </c>
      <c r="E309" t="s">
        <v>45</v>
      </c>
      <c r="F309" t="s">
        <v>29</v>
      </c>
      <c r="G309" t="s">
        <v>41</v>
      </c>
      <c r="H309" t="s">
        <v>23</v>
      </c>
      <c r="I309">
        <v>1</v>
      </c>
      <c r="J309" s="2">
        <v>12.99</v>
      </c>
      <c r="K309" s="2">
        <v>12.99</v>
      </c>
      <c r="L309">
        <v>4</v>
      </c>
      <c r="M309" t="str">
        <f>IF(Table1[[#This Row],[Customer Rating]]&gt;=3,"Good","Average")</f>
        <v>Good</v>
      </c>
    </row>
    <row r="310" spans="1:13" x14ac:dyDescent="0.25">
      <c r="A310" t="s">
        <v>360</v>
      </c>
      <c r="B310" s="4">
        <v>45387</v>
      </c>
      <c r="C310" s="4" t="str">
        <f>TEXT(Table1[[#This Row],[Order Date]],"mmm")</f>
        <v>Apr</v>
      </c>
      <c r="D310" s="4" t="str">
        <f>TEXT(Table1[[#This Row],[Order Date]],"yyyy")</f>
        <v>2024</v>
      </c>
      <c r="E310" t="s">
        <v>21</v>
      </c>
      <c r="F310" t="s">
        <v>17</v>
      </c>
      <c r="G310" t="s">
        <v>112</v>
      </c>
      <c r="H310" t="s">
        <v>19</v>
      </c>
      <c r="I310">
        <v>1</v>
      </c>
      <c r="J310" s="2">
        <v>5.99</v>
      </c>
      <c r="K310" s="2">
        <v>5.99</v>
      </c>
      <c r="L310">
        <v>4</v>
      </c>
      <c r="M310" t="str">
        <f>IF(Table1[[#This Row],[Customer Rating]]&gt;=3,"Good","Average")</f>
        <v>Good</v>
      </c>
    </row>
    <row r="311" spans="1:13" x14ac:dyDescent="0.25">
      <c r="A311" t="s">
        <v>361</v>
      </c>
      <c r="B311" s="4">
        <v>45302</v>
      </c>
      <c r="C311" s="4" t="str">
        <f>TEXT(Table1[[#This Row],[Order Date]],"mmm")</f>
        <v>Jan</v>
      </c>
      <c r="D311" s="4" t="str">
        <f>TEXT(Table1[[#This Row],[Order Date]],"yyyy")</f>
        <v>2024</v>
      </c>
      <c r="E311" t="s">
        <v>38</v>
      </c>
      <c r="F311" t="s">
        <v>17</v>
      </c>
      <c r="G311" t="s">
        <v>176</v>
      </c>
      <c r="H311" t="s">
        <v>67</v>
      </c>
      <c r="I311">
        <v>1</v>
      </c>
      <c r="J311" s="2">
        <v>11.99</v>
      </c>
      <c r="K311" s="2">
        <v>11.99</v>
      </c>
      <c r="L311">
        <v>4</v>
      </c>
      <c r="M311" t="str">
        <f>IF(Table1[[#This Row],[Customer Rating]]&gt;=3,"Good","Average")</f>
        <v>Good</v>
      </c>
    </row>
    <row r="312" spans="1:13" x14ac:dyDescent="0.25">
      <c r="A312" t="s">
        <v>362</v>
      </c>
      <c r="B312" s="4">
        <v>45619</v>
      </c>
      <c r="C312" s="4" t="str">
        <f>TEXT(Table1[[#This Row],[Order Date]],"mmm")</f>
        <v>Nov</v>
      </c>
      <c r="D312" s="4" t="str">
        <f>TEXT(Table1[[#This Row],[Order Date]],"yyyy")</f>
        <v>2024</v>
      </c>
      <c r="E312" t="s">
        <v>32</v>
      </c>
      <c r="F312" t="s">
        <v>29</v>
      </c>
      <c r="G312" t="s">
        <v>13</v>
      </c>
      <c r="H312" t="s">
        <v>14</v>
      </c>
      <c r="I312">
        <v>2</v>
      </c>
      <c r="J312" s="2">
        <v>18.989999999999998</v>
      </c>
      <c r="K312" s="2">
        <v>37.979999999999997</v>
      </c>
      <c r="L312">
        <v>4</v>
      </c>
      <c r="M312" t="str">
        <f>IF(Table1[[#This Row],[Customer Rating]]&gt;=3,"Good","Average")</f>
        <v>Good</v>
      </c>
    </row>
    <row r="313" spans="1:13" x14ac:dyDescent="0.25">
      <c r="A313" t="s">
        <v>363</v>
      </c>
      <c r="B313" s="4">
        <v>45737</v>
      </c>
      <c r="C313" s="4" t="str">
        <f>TEXT(Table1[[#This Row],[Order Date]],"mmm")</f>
        <v>Mar</v>
      </c>
      <c r="D313" s="4" t="str">
        <f>TEXT(Table1[[#This Row],[Order Date]],"yyyy")</f>
        <v>2025</v>
      </c>
      <c r="E313" t="s">
        <v>25</v>
      </c>
      <c r="F313" t="s">
        <v>29</v>
      </c>
      <c r="G313" t="s">
        <v>30</v>
      </c>
      <c r="H313" t="s">
        <v>19</v>
      </c>
      <c r="I313">
        <v>4</v>
      </c>
      <c r="J313" s="2">
        <v>7.99</v>
      </c>
      <c r="K313" s="2">
        <v>31.96</v>
      </c>
      <c r="L313">
        <v>3</v>
      </c>
      <c r="M313" t="str">
        <f>IF(Table1[[#This Row],[Customer Rating]]&gt;=3,"Good","Average")</f>
        <v>Good</v>
      </c>
    </row>
    <row r="314" spans="1:13" x14ac:dyDescent="0.25">
      <c r="A314" t="s">
        <v>364</v>
      </c>
      <c r="B314" s="4">
        <v>45372</v>
      </c>
      <c r="C314" s="4" t="str">
        <f>TEXT(Table1[[#This Row],[Order Date]],"mmm")</f>
        <v>Mar</v>
      </c>
      <c r="D314" s="4" t="str">
        <f>TEXT(Table1[[#This Row],[Order Date]],"yyyy")</f>
        <v>2024</v>
      </c>
      <c r="E314" t="s">
        <v>11</v>
      </c>
      <c r="F314" t="s">
        <v>17</v>
      </c>
      <c r="G314" t="s">
        <v>119</v>
      </c>
      <c r="H314" t="s">
        <v>19</v>
      </c>
      <c r="I314">
        <v>2</v>
      </c>
      <c r="J314" s="2">
        <v>4.99</v>
      </c>
      <c r="K314" s="2">
        <v>9.98</v>
      </c>
      <c r="L314">
        <v>4</v>
      </c>
      <c r="M314" t="str">
        <f>IF(Table1[[#This Row],[Customer Rating]]&gt;=3,"Good","Average")</f>
        <v>Good</v>
      </c>
    </row>
    <row r="315" spans="1:13" x14ac:dyDescent="0.25">
      <c r="A315" t="s">
        <v>365</v>
      </c>
      <c r="B315" s="4">
        <v>45374</v>
      </c>
      <c r="C315" s="4" t="str">
        <f>TEXT(Table1[[#This Row],[Order Date]],"mmm")</f>
        <v>Mar</v>
      </c>
      <c r="D315" s="4" t="str">
        <f>TEXT(Table1[[#This Row],[Order Date]],"yyyy")</f>
        <v>2024</v>
      </c>
      <c r="E315" t="s">
        <v>28</v>
      </c>
      <c r="F315" t="s">
        <v>29</v>
      </c>
      <c r="G315" t="s">
        <v>142</v>
      </c>
      <c r="H315" t="s">
        <v>23</v>
      </c>
      <c r="I315">
        <v>2</v>
      </c>
      <c r="J315" s="2">
        <v>14.99</v>
      </c>
      <c r="K315" s="2">
        <v>29.98</v>
      </c>
      <c r="L315">
        <v>4</v>
      </c>
      <c r="M315" t="str">
        <f>IF(Table1[[#This Row],[Customer Rating]]&gt;=3,"Good","Average")</f>
        <v>Good</v>
      </c>
    </row>
    <row r="316" spans="1:13" x14ac:dyDescent="0.25">
      <c r="A316" t="s">
        <v>366</v>
      </c>
      <c r="B316" s="4">
        <v>45529</v>
      </c>
      <c r="C316" s="4" t="str">
        <f>TEXT(Table1[[#This Row],[Order Date]],"mmm")</f>
        <v>Aug</v>
      </c>
      <c r="D316" s="4" t="str">
        <f>TEXT(Table1[[#This Row],[Order Date]],"yyyy")</f>
        <v>2024</v>
      </c>
      <c r="E316" t="s">
        <v>34</v>
      </c>
      <c r="F316" t="s">
        <v>12</v>
      </c>
      <c r="G316" t="s">
        <v>119</v>
      </c>
      <c r="H316" t="s">
        <v>19</v>
      </c>
      <c r="I316">
        <v>2</v>
      </c>
      <c r="J316" s="2">
        <v>4.99</v>
      </c>
      <c r="K316" s="2">
        <v>9.98</v>
      </c>
      <c r="L316">
        <v>3</v>
      </c>
      <c r="M316" t="str">
        <f>IF(Table1[[#This Row],[Customer Rating]]&gt;=3,"Good","Average")</f>
        <v>Good</v>
      </c>
    </row>
    <row r="317" spans="1:13" x14ac:dyDescent="0.25">
      <c r="A317" t="s">
        <v>367</v>
      </c>
      <c r="B317" s="4">
        <v>45393</v>
      </c>
      <c r="C317" s="4" t="str">
        <f>TEXT(Table1[[#This Row],[Order Date]],"mmm")</f>
        <v>Apr</v>
      </c>
      <c r="D317" s="4" t="str">
        <f>TEXT(Table1[[#This Row],[Order Date]],"yyyy")</f>
        <v>2024</v>
      </c>
      <c r="E317" t="s">
        <v>11</v>
      </c>
      <c r="F317" t="s">
        <v>12</v>
      </c>
      <c r="G317" t="s">
        <v>57</v>
      </c>
      <c r="H317" t="s">
        <v>14</v>
      </c>
      <c r="I317">
        <v>3</v>
      </c>
      <c r="J317" s="2">
        <v>15.99</v>
      </c>
      <c r="K317" s="2">
        <v>47.97</v>
      </c>
      <c r="L317">
        <v>4</v>
      </c>
      <c r="M317" t="str">
        <f>IF(Table1[[#This Row],[Customer Rating]]&gt;=3,"Good","Average")</f>
        <v>Good</v>
      </c>
    </row>
    <row r="318" spans="1:13" x14ac:dyDescent="0.25">
      <c r="A318" t="s">
        <v>368</v>
      </c>
      <c r="B318" s="4">
        <v>45974</v>
      </c>
      <c r="C318" s="4" t="str">
        <f>TEXT(Table1[[#This Row],[Order Date]],"mmm")</f>
        <v>Nov</v>
      </c>
      <c r="D318" s="4" t="str">
        <f>TEXT(Table1[[#This Row],[Order Date]],"yyyy")</f>
        <v>2025</v>
      </c>
      <c r="E318" t="s">
        <v>32</v>
      </c>
      <c r="F318" t="s">
        <v>12</v>
      </c>
      <c r="G318" t="s">
        <v>46</v>
      </c>
      <c r="H318" t="s">
        <v>14</v>
      </c>
      <c r="I318">
        <v>3</v>
      </c>
      <c r="J318" s="2">
        <v>32.99</v>
      </c>
      <c r="K318" s="2">
        <v>98.97</v>
      </c>
      <c r="L318">
        <v>2</v>
      </c>
      <c r="M318" t="str">
        <f>IF(Table1[[#This Row],[Customer Rating]]&gt;=3,"Good","Average")</f>
        <v>Average</v>
      </c>
    </row>
    <row r="319" spans="1:13" x14ac:dyDescent="0.25">
      <c r="A319" t="s">
        <v>369</v>
      </c>
      <c r="B319" s="4">
        <v>45932</v>
      </c>
      <c r="C319" s="4" t="str">
        <f>TEXT(Table1[[#This Row],[Order Date]],"mmm")</f>
        <v>Oct</v>
      </c>
      <c r="D319" s="4" t="str">
        <f>TEXT(Table1[[#This Row],[Order Date]],"yyyy")</f>
        <v>2025</v>
      </c>
      <c r="E319" t="s">
        <v>97</v>
      </c>
      <c r="F319" t="s">
        <v>17</v>
      </c>
      <c r="G319" t="s">
        <v>39</v>
      </c>
      <c r="H319" t="s">
        <v>14</v>
      </c>
      <c r="I319">
        <v>1</v>
      </c>
      <c r="J319" s="2">
        <v>24.99</v>
      </c>
      <c r="K319" s="2">
        <v>24.99</v>
      </c>
      <c r="L319">
        <v>4</v>
      </c>
      <c r="M319" t="str">
        <f>IF(Table1[[#This Row],[Customer Rating]]&gt;=3,"Good","Average")</f>
        <v>Good</v>
      </c>
    </row>
    <row r="320" spans="1:13" x14ac:dyDescent="0.25">
      <c r="A320" t="s">
        <v>370</v>
      </c>
      <c r="B320" s="4">
        <v>45753</v>
      </c>
      <c r="C320" s="4" t="str">
        <f>TEXT(Table1[[#This Row],[Order Date]],"mmm")</f>
        <v>Apr</v>
      </c>
      <c r="D320" s="4" t="str">
        <f>TEXT(Table1[[#This Row],[Order Date]],"yyyy")</f>
        <v>2025</v>
      </c>
      <c r="E320" t="s">
        <v>32</v>
      </c>
      <c r="F320" t="s">
        <v>29</v>
      </c>
      <c r="G320" t="s">
        <v>52</v>
      </c>
      <c r="H320" t="s">
        <v>19</v>
      </c>
      <c r="I320">
        <v>4</v>
      </c>
      <c r="J320" s="2">
        <v>6.99</v>
      </c>
      <c r="K320" s="2">
        <v>27.96</v>
      </c>
      <c r="L320">
        <v>4</v>
      </c>
      <c r="M320" t="str">
        <f>IF(Table1[[#This Row],[Customer Rating]]&gt;=3,"Good","Average")</f>
        <v>Good</v>
      </c>
    </row>
    <row r="321" spans="1:13" x14ac:dyDescent="0.25">
      <c r="A321" t="s">
        <v>371</v>
      </c>
      <c r="B321" s="4">
        <v>45954</v>
      </c>
      <c r="C321" s="4" t="str">
        <f>TEXT(Table1[[#This Row],[Order Date]],"mmm")</f>
        <v>Oct</v>
      </c>
      <c r="D321" s="4" t="str">
        <f>TEXT(Table1[[#This Row],[Order Date]],"yyyy")</f>
        <v>2025</v>
      </c>
      <c r="E321" t="s">
        <v>11</v>
      </c>
      <c r="F321" t="s">
        <v>12</v>
      </c>
      <c r="G321" t="s">
        <v>22</v>
      </c>
      <c r="H321" t="s">
        <v>23</v>
      </c>
      <c r="I321">
        <v>1</v>
      </c>
      <c r="J321" s="2">
        <v>8.99</v>
      </c>
      <c r="K321" s="2">
        <v>8.99</v>
      </c>
      <c r="L321">
        <v>4</v>
      </c>
      <c r="M321" t="str">
        <f>IF(Table1[[#This Row],[Customer Rating]]&gt;=3,"Good","Average")</f>
        <v>Good</v>
      </c>
    </row>
    <row r="322" spans="1:13" x14ac:dyDescent="0.25">
      <c r="A322" t="s">
        <v>372</v>
      </c>
      <c r="B322" s="4">
        <v>45851</v>
      </c>
      <c r="C322" s="4" t="str">
        <f>TEXT(Table1[[#This Row],[Order Date]],"mmm")</f>
        <v>Jul</v>
      </c>
      <c r="D322" s="4" t="str">
        <f>TEXT(Table1[[#This Row],[Order Date]],"yyyy")</f>
        <v>2025</v>
      </c>
      <c r="E322" t="s">
        <v>32</v>
      </c>
      <c r="F322" t="s">
        <v>29</v>
      </c>
      <c r="G322" t="s">
        <v>18</v>
      </c>
      <c r="H322" t="s">
        <v>19</v>
      </c>
      <c r="I322">
        <v>4</v>
      </c>
      <c r="J322" s="2">
        <v>9.99</v>
      </c>
      <c r="K322" s="2">
        <v>39.96</v>
      </c>
      <c r="L322">
        <v>4</v>
      </c>
      <c r="M322" t="str">
        <f>IF(Table1[[#This Row],[Customer Rating]]&gt;=3,"Good","Average")</f>
        <v>Good</v>
      </c>
    </row>
    <row r="323" spans="1:13" x14ac:dyDescent="0.25">
      <c r="A323" t="s">
        <v>373</v>
      </c>
      <c r="B323" s="4">
        <v>45729</v>
      </c>
      <c r="C323" s="4" t="str">
        <f>TEXT(Table1[[#This Row],[Order Date]],"mmm")</f>
        <v>Mar</v>
      </c>
      <c r="D323" s="4" t="str">
        <f>TEXT(Table1[[#This Row],[Order Date]],"yyyy")</f>
        <v>2025</v>
      </c>
      <c r="E323" t="s">
        <v>34</v>
      </c>
      <c r="F323" t="s">
        <v>29</v>
      </c>
      <c r="G323" t="s">
        <v>50</v>
      </c>
      <c r="H323" t="s">
        <v>14</v>
      </c>
      <c r="I323">
        <v>2</v>
      </c>
      <c r="J323" s="2">
        <v>22.99</v>
      </c>
      <c r="K323" s="2">
        <v>45.98</v>
      </c>
      <c r="L323">
        <v>5</v>
      </c>
      <c r="M323" t="str">
        <f>IF(Table1[[#This Row],[Customer Rating]]&gt;=3,"Good","Average")</f>
        <v>Good</v>
      </c>
    </row>
    <row r="324" spans="1:13" x14ac:dyDescent="0.25">
      <c r="A324" t="s">
        <v>374</v>
      </c>
      <c r="B324" s="4">
        <v>45786</v>
      </c>
      <c r="C324" s="4" t="str">
        <f>TEXT(Table1[[#This Row],[Order Date]],"mmm")</f>
        <v>May</v>
      </c>
      <c r="D324" s="4" t="str">
        <f>TEXT(Table1[[#This Row],[Order Date]],"yyyy")</f>
        <v>2025</v>
      </c>
      <c r="E324" t="s">
        <v>45</v>
      </c>
      <c r="F324" t="s">
        <v>12</v>
      </c>
      <c r="G324" t="s">
        <v>74</v>
      </c>
      <c r="H324" t="s">
        <v>14</v>
      </c>
      <c r="I324">
        <v>1</v>
      </c>
      <c r="J324" s="2">
        <v>14.99</v>
      </c>
      <c r="K324" s="2">
        <v>14.99</v>
      </c>
      <c r="L324">
        <v>3</v>
      </c>
      <c r="M324" t="str">
        <f>IF(Table1[[#This Row],[Customer Rating]]&gt;=3,"Good","Average")</f>
        <v>Good</v>
      </c>
    </row>
    <row r="325" spans="1:13" x14ac:dyDescent="0.25">
      <c r="A325" t="s">
        <v>375</v>
      </c>
      <c r="B325" s="4">
        <v>45788</v>
      </c>
      <c r="C325" s="4" t="str">
        <f>TEXT(Table1[[#This Row],[Order Date]],"mmm")</f>
        <v>May</v>
      </c>
      <c r="D325" s="4" t="str">
        <f>TEXT(Table1[[#This Row],[Order Date]],"yyyy")</f>
        <v>2025</v>
      </c>
      <c r="E325" t="s">
        <v>32</v>
      </c>
      <c r="F325" t="s">
        <v>12</v>
      </c>
      <c r="G325" t="s">
        <v>112</v>
      </c>
      <c r="H325" t="s">
        <v>19</v>
      </c>
      <c r="I325">
        <v>1</v>
      </c>
      <c r="J325" s="2">
        <v>5.99</v>
      </c>
      <c r="K325" s="2">
        <v>5.99</v>
      </c>
      <c r="L325">
        <v>4</v>
      </c>
      <c r="M325" t="str">
        <f>IF(Table1[[#This Row],[Customer Rating]]&gt;=3,"Good","Average")</f>
        <v>Good</v>
      </c>
    </row>
    <row r="326" spans="1:13" x14ac:dyDescent="0.25">
      <c r="A326" t="s">
        <v>376</v>
      </c>
      <c r="B326" s="4">
        <v>45560</v>
      </c>
      <c r="C326" s="4" t="str">
        <f>TEXT(Table1[[#This Row],[Order Date]],"mmm")</f>
        <v>Sep</v>
      </c>
      <c r="D326" s="4" t="str">
        <f>TEXT(Table1[[#This Row],[Order Date]],"yyyy")</f>
        <v>2024</v>
      </c>
      <c r="E326" t="s">
        <v>16</v>
      </c>
      <c r="F326" t="s">
        <v>17</v>
      </c>
      <c r="G326" t="s">
        <v>46</v>
      </c>
      <c r="H326" t="s">
        <v>14</v>
      </c>
      <c r="I326">
        <v>2</v>
      </c>
      <c r="J326" s="2">
        <v>32.99</v>
      </c>
      <c r="K326" s="2">
        <v>65.98</v>
      </c>
      <c r="L326">
        <v>4</v>
      </c>
      <c r="M326" t="str">
        <f>IF(Table1[[#This Row],[Customer Rating]]&gt;=3,"Good","Average")</f>
        <v>Good</v>
      </c>
    </row>
    <row r="327" spans="1:13" x14ac:dyDescent="0.25">
      <c r="A327" t="s">
        <v>377</v>
      </c>
      <c r="B327" s="4">
        <v>45478</v>
      </c>
      <c r="C327" s="4" t="str">
        <f>TEXT(Table1[[#This Row],[Order Date]],"mmm")</f>
        <v>Jul</v>
      </c>
      <c r="D327" s="4" t="str">
        <f>TEXT(Table1[[#This Row],[Order Date]],"yyyy")</f>
        <v>2024</v>
      </c>
      <c r="E327" t="s">
        <v>28</v>
      </c>
      <c r="F327" t="s">
        <v>17</v>
      </c>
      <c r="G327" t="s">
        <v>83</v>
      </c>
      <c r="H327" t="s">
        <v>14</v>
      </c>
      <c r="I327">
        <v>3</v>
      </c>
      <c r="J327" s="2">
        <v>17.989999999999998</v>
      </c>
      <c r="K327" s="2">
        <v>53.97</v>
      </c>
      <c r="L327">
        <v>5</v>
      </c>
      <c r="M327" t="str">
        <f>IF(Table1[[#This Row],[Customer Rating]]&gt;=3,"Good","Average")</f>
        <v>Good</v>
      </c>
    </row>
    <row r="328" spans="1:13" x14ac:dyDescent="0.25">
      <c r="A328" t="s">
        <v>378</v>
      </c>
      <c r="B328" s="4">
        <v>45872</v>
      </c>
      <c r="C328" s="4" t="str">
        <f>TEXT(Table1[[#This Row],[Order Date]],"mmm")</f>
        <v>Aug</v>
      </c>
      <c r="D328" s="4" t="str">
        <f>TEXT(Table1[[#This Row],[Order Date]],"yyyy")</f>
        <v>2025</v>
      </c>
      <c r="E328" t="s">
        <v>11</v>
      </c>
      <c r="F328" t="s">
        <v>29</v>
      </c>
      <c r="G328" t="s">
        <v>55</v>
      </c>
      <c r="H328" t="s">
        <v>23</v>
      </c>
      <c r="I328">
        <v>2</v>
      </c>
      <c r="J328" s="2">
        <v>10.99</v>
      </c>
      <c r="K328" s="2">
        <v>21.98</v>
      </c>
      <c r="L328">
        <v>3</v>
      </c>
      <c r="M328" t="str">
        <f>IF(Table1[[#This Row],[Customer Rating]]&gt;=3,"Good","Average")</f>
        <v>Good</v>
      </c>
    </row>
    <row r="329" spans="1:13" x14ac:dyDescent="0.25">
      <c r="A329" t="s">
        <v>379</v>
      </c>
      <c r="B329" s="4">
        <v>45301</v>
      </c>
      <c r="C329" s="4" t="str">
        <f>TEXT(Table1[[#This Row],[Order Date]],"mmm")</f>
        <v>Jan</v>
      </c>
      <c r="D329" s="4" t="str">
        <f>TEXT(Table1[[#This Row],[Order Date]],"yyyy")</f>
        <v>2024</v>
      </c>
      <c r="E329" t="s">
        <v>16</v>
      </c>
      <c r="F329" t="s">
        <v>12</v>
      </c>
      <c r="G329" t="s">
        <v>13</v>
      </c>
      <c r="H329" t="s">
        <v>14</v>
      </c>
      <c r="I329">
        <v>2</v>
      </c>
      <c r="J329" s="2">
        <v>18.989999999999998</v>
      </c>
      <c r="K329" s="2">
        <v>37.979999999999997</v>
      </c>
      <c r="L329">
        <v>4</v>
      </c>
      <c r="M329" t="str">
        <f>IF(Table1[[#This Row],[Customer Rating]]&gt;=3,"Good","Average")</f>
        <v>Good</v>
      </c>
    </row>
    <row r="330" spans="1:13" x14ac:dyDescent="0.25">
      <c r="A330" t="s">
        <v>380</v>
      </c>
      <c r="B330" s="4">
        <v>45730</v>
      </c>
      <c r="C330" s="4" t="str">
        <f>TEXT(Table1[[#This Row],[Order Date]],"mmm")</f>
        <v>Mar</v>
      </c>
      <c r="D330" s="4" t="str">
        <f>TEXT(Table1[[#This Row],[Order Date]],"yyyy")</f>
        <v>2025</v>
      </c>
      <c r="E330" t="s">
        <v>38</v>
      </c>
      <c r="F330" t="s">
        <v>12</v>
      </c>
      <c r="G330" t="s">
        <v>57</v>
      </c>
      <c r="H330" t="s">
        <v>14</v>
      </c>
      <c r="I330">
        <v>1</v>
      </c>
      <c r="J330" s="2">
        <v>15.99</v>
      </c>
      <c r="K330" s="2">
        <v>15.99</v>
      </c>
      <c r="L330">
        <v>3</v>
      </c>
      <c r="M330" t="str">
        <f>IF(Table1[[#This Row],[Customer Rating]]&gt;=3,"Good","Average")</f>
        <v>Good</v>
      </c>
    </row>
    <row r="331" spans="1:13" x14ac:dyDescent="0.25">
      <c r="A331" t="s">
        <v>381</v>
      </c>
      <c r="B331" s="4">
        <v>45902</v>
      </c>
      <c r="C331" s="4" t="str">
        <f>TEXT(Table1[[#This Row],[Order Date]],"mmm")</f>
        <v>Sep</v>
      </c>
      <c r="D331" s="4" t="str">
        <f>TEXT(Table1[[#This Row],[Order Date]],"yyyy")</f>
        <v>2025</v>
      </c>
      <c r="E331" t="s">
        <v>97</v>
      </c>
      <c r="F331" t="s">
        <v>12</v>
      </c>
      <c r="G331" t="s">
        <v>13</v>
      </c>
      <c r="H331" t="s">
        <v>14</v>
      </c>
      <c r="I331">
        <v>2</v>
      </c>
      <c r="J331" s="2">
        <v>18.989999999999998</v>
      </c>
      <c r="K331" s="2">
        <v>37.979999999999997</v>
      </c>
      <c r="L331">
        <v>5</v>
      </c>
      <c r="M331" t="str">
        <f>IF(Table1[[#This Row],[Customer Rating]]&gt;=3,"Good","Average")</f>
        <v>Good</v>
      </c>
    </row>
    <row r="332" spans="1:13" x14ac:dyDescent="0.25">
      <c r="A332" t="s">
        <v>382</v>
      </c>
      <c r="B332" s="4">
        <v>45806</v>
      </c>
      <c r="C332" s="4" t="str">
        <f>TEXT(Table1[[#This Row],[Order Date]],"mmm")</f>
        <v>May</v>
      </c>
      <c r="D332" s="4" t="str">
        <f>TEXT(Table1[[#This Row],[Order Date]],"yyyy")</f>
        <v>2025</v>
      </c>
      <c r="E332" t="s">
        <v>16</v>
      </c>
      <c r="F332" t="s">
        <v>29</v>
      </c>
      <c r="G332" t="s">
        <v>79</v>
      </c>
      <c r="H332" t="s">
        <v>67</v>
      </c>
      <c r="I332">
        <v>2</v>
      </c>
      <c r="J332" s="2">
        <v>10.99</v>
      </c>
      <c r="K332" s="2">
        <v>21.98</v>
      </c>
      <c r="L332">
        <v>4</v>
      </c>
      <c r="M332" t="str">
        <f>IF(Table1[[#This Row],[Customer Rating]]&gt;=3,"Good","Average")</f>
        <v>Good</v>
      </c>
    </row>
    <row r="333" spans="1:13" x14ac:dyDescent="0.25">
      <c r="A333" t="s">
        <v>383</v>
      </c>
      <c r="B333" s="4">
        <v>45737</v>
      </c>
      <c r="C333" s="4" t="str">
        <f>TEXT(Table1[[#This Row],[Order Date]],"mmm")</f>
        <v>Mar</v>
      </c>
      <c r="D333" s="4" t="str">
        <f>TEXT(Table1[[#This Row],[Order Date]],"yyyy")</f>
        <v>2025</v>
      </c>
      <c r="E333" t="s">
        <v>25</v>
      </c>
      <c r="F333" t="s">
        <v>29</v>
      </c>
      <c r="G333" t="s">
        <v>22</v>
      </c>
      <c r="H333" t="s">
        <v>23</v>
      </c>
      <c r="I333">
        <v>1</v>
      </c>
      <c r="J333" s="2">
        <v>8.99</v>
      </c>
      <c r="K333" s="2">
        <v>8.99</v>
      </c>
      <c r="L333">
        <v>5</v>
      </c>
      <c r="M333" t="str">
        <f>IF(Table1[[#This Row],[Customer Rating]]&gt;=3,"Good","Average")</f>
        <v>Good</v>
      </c>
    </row>
    <row r="334" spans="1:13" x14ac:dyDescent="0.25">
      <c r="A334" t="s">
        <v>384</v>
      </c>
      <c r="B334" s="4">
        <v>45953</v>
      </c>
      <c r="C334" s="4" t="str">
        <f>TEXT(Table1[[#This Row],[Order Date]],"mmm")</f>
        <v>Oct</v>
      </c>
      <c r="D334" s="4" t="str">
        <f>TEXT(Table1[[#This Row],[Order Date]],"yyyy")</f>
        <v>2025</v>
      </c>
      <c r="E334" t="s">
        <v>25</v>
      </c>
      <c r="F334" t="s">
        <v>29</v>
      </c>
      <c r="G334" t="s">
        <v>57</v>
      </c>
      <c r="H334" t="s">
        <v>14</v>
      </c>
      <c r="I334">
        <v>1</v>
      </c>
      <c r="J334" s="2">
        <v>15.99</v>
      </c>
      <c r="K334" s="2">
        <v>15.99</v>
      </c>
      <c r="L334">
        <v>4</v>
      </c>
      <c r="M334" t="str">
        <f>IF(Table1[[#This Row],[Customer Rating]]&gt;=3,"Good","Average")</f>
        <v>Good</v>
      </c>
    </row>
    <row r="335" spans="1:13" x14ac:dyDescent="0.25">
      <c r="A335" t="s">
        <v>385</v>
      </c>
      <c r="B335" s="4">
        <v>45648</v>
      </c>
      <c r="C335" s="4" t="str">
        <f>TEXT(Table1[[#This Row],[Order Date]],"mmm")</f>
        <v>Dec</v>
      </c>
      <c r="D335" s="4" t="str">
        <f>TEXT(Table1[[#This Row],[Order Date]],"yyyy")</f>
        <v>2024</v>
      </c>
      <c r="E335" t="s">
        <v>34</v>
      </c>
      <c r="F335" t="s">
        <v>17</v>
      </c>
      <c r="G335" t="s">
        <v>221</v>
      </c>
      <c r="H335" t="s">
        <v>67</v>
      </c>
      <c r="I335">
        <v>2</v>
      </c>
      <c r="J335" s="2">
        <v>9.99</v>
      </c>
      <c r="K335" s="2">
        <v>19.98</v>
      </c>
      <c r="L335">
        <v>5</v>
      </c>
      <c r="M335" t="str">
        <f>IF(Table1[[#This Row],[Customer Rating]]&gt;=3,"Good","Average")</f>
        <v>Good</v>
      </c>
    </row>
    <row r="336" spans="1:13" x14ac:dyDescent="0.25">
      <c r="A336" t="s">
        <v>386</v>
      </c>
      <c r="B336" s="4">
        <v>45986</v>
      </c>
      <c r="C336" s="4" t="str">
        <f>TEXT(Table1[[#This Row],[Order Date]],"mmm")</f>
        <v>Nov</v>
      </c>
      <c r="D336" s="4" t="str">
        <f>TEXT(Table1[[#This Row],[Order Date]],"yyyy")</f>
        <v>2025</v>
      </c>
      <c r="E336" t="s">
        <v>45</v>
      </c>
      <c r="F336" t="s">
        <v>12</v>
      </c>
      <c r="G336" t="s">
        <v>142</v>
      </c>
      <c r="H336" t="s">
        <v>23</v>
      </c>
      <c r="I336">
        <v>1</v>
      </c>
      <c r="J336" s="2">
        <v>14.99</v>
      </c>
      <c r="K336" s="2">
        <v>14.99</v>
      </c>
      <c r="L336">
        <v>3</v>
      </c>
      <c r="M336" t="str">
        <f>IF(Table1[[#This Row],[Customer Rating]]&gt;=3,"Good","Average")</f>
        <v>Good</v>
      </c>
    </row>
    <row r="337" spans="1:13" x14ac:dyDescent="0.25">
      <c r="A337" t="s">
        <v>387</v>
      </c>
      <c r="B337" s="4">
        <v>45443</v>
      </c>
      <c r="C337" s="4" t="str">
        <f>TEXT(Table1[[#This Row],[Order Date]],"mmm")</f>
        <v>May</v>
      </c>
      <c r="D337" s="4" t="str">
        <f>TEXT(Table1[[#This Row],[Order Date]],"yyyy")</f>
        <v>2024</v>
      </c>
      <c r="E337" t="s">
        <v>38</v>
      </c>
      <c r="F337" t="s">
        <v>17</v>
      </c>
      <c r="G337" t="s">
        <v>46</v>
      </c>
      <c r="H337" t="s">
        <v>14</v>
      </c>
      <c r="I337">
        <v>3</v>
      </c>
      <c r="J337" s="2">
        <v>32.99</v>
      </c>
      <c r="K337" s="2">
        <v>98.97</v>
      </c>
      <c r="L337">
        <v>4</v>
      </c>
      <c r="M337" t="str">
        <f>IF(Table1[[#This Row],[Customer Rating]]&gt;=3,"Good","Average")</f>
        <v>Good</v>
      </c>
    </row>
    <row r="338" spans="1:13" x14ac:dyDescent="0.25">
      <c r="A338" t="s">
        <v>388</v>
      </c>
      <c r="B338" s="4">
        <v>45954</v>
      </c>
      <c r="C338" s="4" t="str">
        <f>TEXT(Table1[[#This Row],[Order Date]],"mmm")</f>
        <v>Oct</v>
      </c>
      <c r="D338" s="4" t="str">
        <f>TEXT(Table1[[#This Row],[Order Date]],"yyyy")</f>
        <v>2025</v>
      </c>
      <c r="E338" t="s">
        <v>25</v>
      </c>
      <c r="F338" t="s">
        <v>29</v>
      </c>
      <c r="G338" t="s">
        <v>36</v>
      </c>
      <c r="H338" t="s">
        <v>14</v>
      </c>
      <c r="I338">
        <v>1</v>
      </c>
      <c r="J338" s="2">
        <v>16.989999999999998</v>
      </c>
      <c r="K338" s="2">
        <v>16.989999999999998</v>
      </c>
      <c r="L338">
        <v>4</v>
      </c>
      <c r="M338" t="str">
        <f>IF(Table1[[#This Row],[Customer Rating]]&gt;=3,"Good","Average")</f>
        <v>Good</v>
      </c>
    </row>
    <row r="339" spans="1:13" x14ac:dyDescent="0.25">
      <c r="A339" t="s">
        <v>389</v>
      </c>
      <c r="B339" s="4">
        <v>45646</v>
      </c>
      <c r="C339" s="4" t="str">
        <f>TEXT(Table1[[#This Row],[Order Date]],"mmm")</f>
        <v>Dec</v>
      </c>
      <c r="D339" s="4" t="str">
        <f>TEXT(Table1[[#This Row],[Order Date]],"yyyy")</f>
        <v>2024</v>
      </c>
      <c r="E339" t="s">
        <v>21</v>
      </c>
      <c r="F339" t="s">
        <v>29</v>
      </c>
      <c r="G339" t="s">
        <v>79</v>
      </c>
      <c r="H339" t="s">
        <v>67</v>
      </c>
      <c r="I339">
        <v>4</v>
      </c>
      <c r="J339" s="2">
        <v>10.99</v>
      </c>
      <c r="K339" s="2">
        <v>43.96</v>
      </c>
      <c r="L339">
        <v>4</v>
      </c>
      <c r="M339" t="str">
        <f>IF(Table1[[#This Row],[Customer Rating]]&gt;=3,"Good","Average")</f>
        <v>Good</v>
      </c>
    </row>
    <row r="340" spans="1:13" x14ac:dyDescent="0.25">
      <c r="A340" t="s">
        <v>390</v>
      </c>
      <c r="B340" s="4">
        <v>45422</v>
      </c>
      <c r="C340" s="4" t="str">
        <f>TEXT(Table1[[#This Row],[Order Date]],"mmm")</f>
        <v>May</v>
      </c>
      <c r="D340" s="4" t="str">
        <f>TEXT(Table1[[#This Row],[Order Date]],"yyyy")</f>
        <v>2024</v>
      </c>
      <c r="E340" t="s">
        <v>45</v>
      </c>
      <c r="F340" t="s">
        <v>12</v>
      </c>
      <c r="G340" t="s">
        <v>83</v>
      </c>
      <c r="H340" t="s">
        <v>14</v>
      </c>
      <c r="I340">
        <v>1</v>
      </c>
      <c r="J340" s="2">
        <v>17.989999999999998</v>
      </c>
      <c r="K340" s="2">
        <v>17.989999999999998</v>
      </c>
      <c r="L340">
        <v>5</v>
      </c>
      <c r="M340" t="str">
        <f>IF(Table1[[#This Row],[Customer Rating]]&gt;=3,"Good","Average")</f>
        <v>Good</v>
      </c>
    </row>
    <row r="341" spans="1:13" x14ac:dyDescent="0.25">
      <c r="A341" t="s">
        <v>391</v>
      </c>
      <c r="B341" s="4">
        <v>45766</v>
      </c>
      <c r="C341" s="4" t="str">
        <f>TEXT(Table1[[#This Row],[Order Date]],"mmm")</f>
        <v>Apr</v>
      </c>
      <c r="D341" s="4" t="str">
        <f>TEXT(Table1[[#This Row],[Order Date]],"yyyy")</f>
        <v>2025</v>
      </c>
      <c r="E341" t="s">
        <v>28</v>
      </c>
      <c r="F341" t="s">
        <v>12</v>
      </c>
      <c r="G341" t="s">
        <v>30</v>
      </c>
      <c r="H341" t="s">
        <v>19</v>
      </c>
      <c r="I341">
        <v>2</v>
      </c>
      <c r="J341" s="2">
        <v>7.99</v>
      </c>
      <c r="K341" s="2">
        <v>15.98</v>
      </c>
      <c r="L341">
        <v>2</v>
      </c>
      <c r="M341" t="str">
        <f>IF(Table1[[#This Row],[Customer Rating]]&gt;=3,"Good","Average")</f>
        <v>Average</v>
      </c>
    </row>
    <row r="342" spans="1:13" x14ac:dyDescent="0.25">
      <c r="A342" t="s">
        <v>392</v>
      </c>
      <c r="B342" s="4">
        <v>45472</v>
      </c>
      <c r="C342" s="4" t="str">
        <f>TEXT(Table1[[#This Row],[Order Date]],"mmm")</f>
        <v>Jun</v>
      </c>
      <c r="D342" s="4" t="str">
        <f>TEXT(Table1[[#This Row],[Order Date]],"yyyy")</f>
        <v>2024</v>
      </c>
      <c r="E342" t="s">
        <v>16</v>
      </c>
      <c r="F342" t="s">
        <v>29</v>
      </c>
      <c r="G342" t="s">
        <v>119</v>
      </c>
      <c r="H342" t="s">
        <v>19</v>
      </c>
      <c r="I342">
        <v>1</v>
      </c>
      <c r="J342" s="2">
        <v>4.99</v>
      </c>
      <c r="K342" s="2">
        <v>4.99</v>
      </c>
      <c r="L342">
        <v>3</v>
      </c>
      <c r="M342" t="str">
        <f>IF(Table1[[#This Row],[Customer Rating]]&gt;=3,"Good","Average")</f>
        <v>Good</v>
      </c>
    </row>
    <row r="343" spans="1:13" x14ac:dyDescent="0.25">
      <c r="A343" t="s">
        <v>393</v>
      </c>
      <c r="B343" s="4">
        <v>45828</v>
      </c>
      <c r="C343" s="4" t="str">
        <f>TEXT(Table1[[#This Row],[Order Date]],"mmm")</f>
        <v>Jun</v>
      </c>
      <c r="D343" s="4" t="str">
        <f>TEXT(Table1[[#This Row],[Order Date]],"yyyy")</f>
        <v>2025</v>
      </c>
      <c r="E343" t="s">
        <v>21</v>
      </c>
      <c r="F343" t="s">
        <v>29</v>
      </c>
      <c r="G343" t="s">
        <v>13</v>
      </c>
      <c r="H343" t="s">
        <v>14</v>
      </c>
      <c r="I343">
        <v>2</v>
      </c>
      <c r="J343" s="2">
        <v>18.989999999999998</v>
      </c>
      <c r="K343" s="2">
        <v>37.979999999999997</v>
      </c>
      <c r="L343">
        <v>3</v>
      </c>
      <c r="M343" t="str">
        <f>IF(Table1[[#This Row],[Customer Rating]]&gt;=3,"Good","Average")</f>
        <v>Good</v>
      </c>
    </row>
    <row r="344" spans="1:13" x14ac:dyDescent="0.25">
      <c r="A344" t="s">
        <v>394</v>
      </c>
      <c r="B344" s="4">
        <v>45716</v>
      </c>
      <c r="C344" s="4" t="str">
        <f>TEXT(Table1[[#This Row],[Order Date]],"mmm")</f>
        <v>Feb</v>
      </c>
      <c r="D344" s="4" t="str">
        <f>TEXT(Table1[[#This Row],[Order Date]],"yyyy")</f>
        <v>2025</v>
      </c>
      <c r="E344" t="s">
        <v>45</v>
      </c>
      <c r="F344" t="s">
        <v>29</v>
      </c>
      <c r="G344" t="s">
        <v>39</v>
      </c>
      <c r="H344" t="s">
        <v>14</v>
      </c>
      <c r="I344">
        <v>1</v>
      </c>
      <c r="J344" s="2">
        <v>24.99</v>
      </c>
      <c r="K344" s="2">
        <v>24.99</v>
      </c>
      <c r="L344">
        <v>3</v>
      </c>
      <c r="M344" t="str">
        <f>IF(Table1[[#This Row],[Customer Rating]]&gt;=3,"Good","Average")</f>
        <v>Good</v>
      </c>
    </row>
    <row r="345" spans="1:13" x14ac:dyDescent="0.25">
      <c r="A345" t="s">
        <v>395</v>
      </c>
      <c r="B345" s="4">
        <v>45618</v>
      </c>
      <c r="C345" s="4" t="str">
        <f>TEXT(Table1[[#This Row],[Order Date]],"mmm")</f>
        <v>Nov</v>
      </c>
      <c r="D345" s="4" t="str">
        <f>TEXT(Table1[[#This Row],[Order Date]],"yyyy")</f>
        <v>2024</v>
      </c>
      <c r="E345" t="s">
        <v>21</v>
      </c>
      <c r="F345" t="s">
        <v>17</v>
      </c>
      <c r="G345" t="s">
        <v>142</v>
      </c>
      <c r="H345" t="s">
        <v>23</v>
      </c>
      <c r="I345">
        <v>1</v>
      </c>
      <c r="J345" s="2">
        <v>14.99</v>
      </c>
      <c r="K345" s="2">
        <v>14.99</v>
      </c>
      <c r="L345">
        <v>3</v>
      </c>
      <c r="M345" t="str">
        <f>IF(Table1[[#This Row],[Customer Rating]]&gt;=3,"Good","Average")</f>
        <v>Good</v>
      </c>
    </row>
    <row r="346" spans="1:13" x14ac:dyDescent="0.25">
      <c r="A346" t="s">
        <v>396</v>
      </c>
      <c r="B346" s="4">
        <v>45387</v>
      </c>
      <c r="C346" s="4" t="str">
        <f>TEXT(Table1[[#This Row],[Order Date]],"mmm")</f>
        <v>Apr</v>
      </c>
      <c r="D346" s="4" t="str">
        <f>TEXT(Table1[[#This Row],[Order Date]],"yyyy")</f>
        <v>2024</v>
      </c>
      <c r="E346" t="s">
        <v>97</v>
      </c>
      <c r="F346" t="s">
        <v>12</v>
      </c>
      <c r="G346" t="s">
        <v>41</v>
      </c>
      <c r="H346" t="s">
        <v>23</v>
      </c>
      <c r="I346">
        <v>1</v>
      </c>
      <c r="J346" s="2">
        <v>12.99</v>
      </c>
      <c r="K346" s="2">
        <v>12.99</v>
      </c>
      <c r="L346">
        <v>5</v>
      </c>
      <c r="M346" t="str">
        <f>IF(Table1[[#This Row],[Customer Rating]]&gt;=3,"Good","Average")</f>
        <v>Good</v>
      </c>
    </row>
    <row r="347" spans="1:13" x14ac:dyDescent="0.25">
      <c r="A347" t="s">
        <v>397</v>
      </c>
      <c r="B347" s="4">
        <v>45590</v>
      </c>
      <c r="C347" s="4" t="str">
        <f>TEXT(Table1[[#This Row],[Order Date]],"mmm")</f>
        <v>Oct</v>
      </c>
      <c r="D347" s="4" t="str">
        <f>TEXT(Table1[[#This Row],[Order Date]],"yyyy")</f>
        <v>2024</v>
      </c>
      <c r="E347" t="s">
        <v>16</v>
      </c>
      <c r="F347" t="s">
        <v>29</v>
      </c>
      <c r="G347" t="s">
        <v>22</v>
      </c>
      <c r="H347" t="s">
        <v>23</v>
      </c>
      <c r="I347">
        <v>2</v>
      </c>
      <c r="J347" s="2">
        <v>8.99</v>
      </c>
      <c r="K347" s="2">
        <v>17.98</v>
      </c>
      <c r="L347">
        <v>4</v>
      </c>
      <c r="M347" t="str">
        <f>IF(Table1[[#This Row],[Customer Rating]]&gt;=3,"Good","Average")</f>
        <v>Good</v>
      </c>
    </row>
    <row r="348" spans="1:13" x14ac:dyDescent="0.25">
      <c r="A348" t="s">
        <v>398</v>
      </c>
      <c r="B348" s="4">
        <v>45906</v>
      </c>
      <c r="C348" s="4" t="str">
        <f>TEXT(Table1[[#This Row],[Order Date]],"mmm")</f>
        <v>Sep</v>
      </c>
      <c r="D348" s="4" t="str">
        <f>TEXT(Table1[[#This Row],[Order Date]],"yyyy")</f>
        <v>2025</v>
      </c>
      <c r="E348" t="s">
        <v>25</v>
      </c>
      <c r="F348" t="s">
        <v>29</v>
      </c>
      <c r="G348" t="s">
        <v>83</v>
      </c>
      <c r="H348" t="s">
        <v>14</v>
      </c>
      <c r="I348">
        <v>2</v>
      </c>
      <c r="J348" s="2">
        <v>17.989999999999998</v>
      </c>
      <c r="K348" s="2">
        <v>35.979999999999997</v>
      </c>
      <c r="L348">
        <v>3</v>
      </c>
      <c r="M348" t="str">
        <f>IF(Table1[[#This Row],[Customer Rating]]&gt;=3,"Good","Average")</f>
        <v>Good</v>
      </c>
    </row>
    <row r="349" spans="1:13" x14ac:dyDescent="0.25">
      <c r="A349" t="s">
        <v>399</v>
      </c>
      <c r="B349" s="4">
        <v>45536</v>
      </c>
      <c r="C349" s="4" t="str">
        <f>TEXT(Table1[[#This Row],[Order Date]],"mmm")</f>
        <v>Sep</v>
      </c>
      <c r="D349" s="4" t="str">
        <f>TEXT(Table1[[#This Row],[Order Date]],"yyyy")</f>
        <v>2024</v>
      </c>
      <c r="E349" t="s">
        <v>11</v>
      </c>
      <c r="F349" t="s">
        <v>29</v>
      </c>
      <c r="G349" t="s">
        <v>30</v>
      </c>
      <c r="H349" t="s">
        <v>19</v>
      </c>
      <c r="I349">
        <v>1</v>
      </c>
      <c r="J349" s="2">
        <v>7.99</v>
      </c>
      <c r="K349" s="2">
        <v>7.99</v>
      </c>
      <c r="L349">
        <v>3</v>
      </c>
      <c r="M349" t="str">
        <f>IF(Table1[[#This Row],[Customer Rating]]&gt;=3,"Good","Average")</f>
        <v>Good</v>
      </c>
    </row>
    <row r="350" spans="1:13" x14ac:dyDescent="0.25">
      <c r="A350" t="s">
        <v>400</v>
      </c>
      <c r="B350" s="4">
        <v>45728</v>
      </c>
      <c r="C350" s="4" t="str">
        <f>TEXT(Table1[[#This Row],[Order Date]],"mmm")</f>
        <v>Mar</v>
      </c>
      <c r="D350" s="4" t="str">
        <f>TEXT(Table1[[#This Row],[Order Date]],"yyyy")</f>
        <v>2025</v>
      </c>
      <c r="E350" t="s">
        <v>25</v>
      </c>
      <c r="F350" t="s">
        <v>17</v>
      </c>
      <c r="G350" t="s">
        <v>36</v>
      </c>
      <c r="H350" t="s">
        <v>14</v>
      </c>
      <c r="I350">
        <v>4</v>
      </c>
      <c r="J350" s="2">
        <v>16.989999999999998</v>
      </c>
      <c r="K350" s="2">
        <v>67.959999999999994</v>
      </c>
      <c r="L350">
        <v>4</v>
      </c>
      <c r="M350" t="str">
        <f>IF(Table1[[#This Row],[Customer Rating]]&gt;=3,"Good","Average")</f>
        <v>Good</v>
      </c>
    </row>
    <row r="351" spans="1:13" x14ac:dyDescent="0.25">
      <c r="A351" t="s">
        <v>401</v>
      </c>
      <c r="B351" s="4">
        <v>45778</v>
      </c>
      <c r="C351" s="4" t="str">
        <f>TEXT(Table1[[#This Row],[Order Date]],"mmm")</f>
        <v>May</v>
      </c>
      <c r="D351" s="4" t="str">
        <f>TEXT(Table1[[#This Row],[Order Date]],"yyyy")</f>
        <v>2025</v>
      </c>
      <c r="E351" t="s">
        <v>97</v>
      </c>
      <c r="F351" t="s">
        <v>12</v>
      </c>
      <c r="G351" t="s">
        <v>43</v>
      </c>
      <c r="H351" t="s">
        <v>23</v>
      </c>
      <c r="I351">
        <v>1</v>
      </c>
      <c r="J351" s="2">
        <v>11.99</v>
      </c>
      <c r="K351" s="2">
        <v>11.99</v>
      </c>
      <c r="L351">
        <v>3</v>
      </c>
      <c r="M351" t="str">
        <f>IF(Table1[[#This Row],[Customer Rating]]&gt;=3,"Good","Average")</f>
        <v>Good</v>
      </c>
    </row>
    <row r="352" spans="1:13" x14ac:dyDescent="0.25">
      <c r="A352" t="s">
        <v>402</v>
      </c>
      <c r="B352" s="4">
        <v>45371</v>
      </c>
      <c r="C352" s="4" t="str">
        <f>TEXT(Table1[[#This Row],[Order Date]],"mmm")</f>
        <v>Mar</v>
      </c>
      <c r="D352" s="4" t="str">
        <f>TEXT(Table1[[#This Row],[Order Date]],"yyyy")</f>
        <v>2024</v>
      </c>
      <c r="E352" t="s">
        <v>25</v>
      </c>
      <c r="F352" t="s">
        <v>12</v>
      </c>
      <c r="G352" t="s">
        <v>83</v>
      </c>
      <c r="H352" t="s">
        <v>14</v>
      </c>
      <c r="I352">
        <v>3</v>
      </c>
      <c r="J352" s="2">
        <v>17.989999999999998</v>
      </c>
      <c r="K352" s="2">
        <v>53.97</v>
      </c>
      <c r="L352">
        <v>4</v>
      </c>
      <c r="M352" t="str">
        <f>IF(Table1[[#This Row],[Customer Rating]]&gt;=3,"Good","Average")</f>
        <v>Good</v>
      </c>
    </row>
    <row r="353" spans="1:13" x14ac:dyDescent="0.25">
      <c r="A353" t="s">
        <v>403</v>
      </c>
      <c r="B353" s="4">
        <v>45856</v>
      </c>
      <c r="C353" s="4" t="str">
        <f>TEXT(Table1[[#This Row],[Order Date]],"mmm")</f>
        <v>Jul</v>
      </c>
      <c r="D353" s="4" t="str">
        <f>TEXT(Table1[[#This Row],[Order Date]],"yyyy")</f>
        <v>2025</v>
      </c>
      <c r="E353" t="s">
        <v>34</v>
      </c>
      <c r="F353" t="s">
        <v>12</v>
      </c>
      <c r="G353" t="s">
        <v>55</v>
      </c>
      <c r="H353" t="s">
        <v>23</v>
      </c>
      <c r="I353">
        <v>4</v>
      </c>
      <c r="J353" s="2">
        <v>10.99</v>
      </c>
      <c r="K353" s="2">
        <v>43.96</v>
      </c>
      <c r="L353">
        <v>4</v>
      </c>
      <c r="M353" t="str">
        <f>IF(Table1[[#This Row],[Customer Rating]]&gt;=3,"Good","Average")</f>
        <v>Good</v>
      </c>
    </row>
    <row r="354" spans="1:13" x14ac:dyDescent="0.25">
      <c r="A354" t="s">
        <v>404</v>
      </c>
      <c r="B354" s="4">
        <v>45963</v>
      </c>
      <c r="C354" s="4" t="str">
        <f>TEXT(Table1[[#This Row],[Order Date]],"mmm")</f>
        <v>Nov</v>
      </c>
      <c r="D354" s="4" t="str">
        <f>TEXT(Table1[[#This Row],[Order Date]],"yyyy")</f>
        <v>2025</v>
      </c>
      <c r="E354" t="s">
        <v>45</v>
      </c>
      <c r="F354" t="s">
        <v>29</v>
      </c>
      <c r="G354" t="s">
        <v>13</v>
      </c>
      <c r="H354" t="s">
        <v>14</v>
      </c>
      <c r="I354">
        <v>2</v>
      </c>
      <c r="J354" s="2">
        <v>18.989999999999998</v>
      </c>
      <c r="K354" s="2">
        <v>37.979999999999997</v>
      </c>
      <c r="L354">
        <v>5</v>
      </c>
      <c r="M354" t="str">
        <f>IF(Table1[[#This Row],[Customer Rating]]&gt;=3,"Good","Average")</f>
        <v>Good</v>
      </c>
    </row>
    <row r="355" spans="1:13" x14ac:dyDescent="0.25">
      <c r="A355" t="s">
        <v>405</v>
      </c>
      <c r="B355" s="4">
        <v>45678</v>
      </c>
      <c r="C355" s="4" t="str">
        <f>TEXT(Table1[[#This Row],[Order Date]],"mmm")</f>
        <v>Jan</v>
      </c>
      <c r="D355" s="4" t="str">
        <f>TEXT(Table1[[#This Row],[Order Date]],"yyyy")</f>
        <v>2025</v>
      </c>
      <c r="E355" t="s">
        <v>32</v>
      </c>
      <c r="F355" t="s">
        <v>12</v>
      </c>
      <c r="G355" t="s">
        <v>39</v>
      </c>
      <c r="H355" t="s">
        <v>14</v>
      </c>
      <c r="I355">
        <v>1</v>
      </c>
      <c r="J355" s="2">
        <v>24.99</v>
      </c>
      <c r="K355" s="2">
        <v>24.99</v>
      </c>
      <c r="L355">
        <v>3</v>
      </c>
      <c r="M355" t="str">
        <f>IF(Table1[[#This Row],[Customer Rating]]&gt;=3,"Good","Average")</f>
        <v>Good</v>
      </c>
    </row>
    <row r="356" spans="1:13" x14ac:dyDescent="0.25">
      <c r="A356" t="s">
        <v>406</v>
      </c>
      <c r="B356" s="4">
        <v>45843</v>
      </c>
      <c r="C356" s="4" t="str">
        <f>TEXT(Table1[[#This Row],[Order Date]],"mmm")</f>
        <v>Jul</v>
      </c>
      <c r="D356" s="4" t="str">
        <f>TEXT(Table1[[#This Row],[Order Date]],"yyyy")</f>
        <v>2025</v>
      </c>
      <c r="E356" t="s">
        <v>21</v>
      </c>
      <c r="F356" t="s">
        <v>12</v>
      </c>
      <c r="G356" t="s">
        <v>22</v>
      </c>
      <c r="H356" t="s">
        <v>23</v>
      </c>
      <c r="I356">
        <v>2</v>
      </c>
      <c r="J356" s="2">
        <v>8.99</v>
      </c>
      <c r="K356" s="2">
        <v>17.98</v>
      </c>
      <c r="L356">
        <v>3</v>
      </c>
      <c r="M356" t="str">
        <f>IF(Table1[[#This Row],[Customer Rating]]&gt;=3,"Good","Average")</f>
        <v>Good</v>
      </c>
    </row>
    <row r="357" spans="1:13" x14ac:dyDescent="0.25">
      <c r="A357" t="s">
        <v>407</v>
      </c>
      <c r="B357" s="4">
        <v>45710</v>
      </c>
      <c r="C357" s="4" t="str">
        <f>TEXT(Table1[[#This Row],[Order Date]],"mmm")</f>
        <v>Feb</v>
      </c>
      <c r="D357" s="4" t="str">
        <f>TEXT(Table1[[#This Row],[Order Date]],"yyyy")</f>
        <v>2025</v>
      </c>
      <c r="E357" t="s">
        <v>11</v>
      </c>
      <c r="F357" t="s">
        <v>17</v>
      </c>
      <c r="G357" t="s">
        <v>50</v>
      </c>
      <c r="H357" t="s">
        <v>14</v>
      </c>
      <c r="I357">
        <v>2</v>
      </c>
      <c r="J357" s="2">
        <v>22.99</v>
      </c>
      <c r="K357" s="2">
        <v>45.98</v>
      </c>
      <c r="L357">
        <v>5</v>
      </c>
      <c r="M357" t="str">
        <f>IF(Table1[[#This Row],[Customer Rating]]&gt;=3,"Good","Average")</f>
        <v>Good</v>
      </c>
    </row>
    <row r="358" spans="1:13" x14ac:dyDescent="0.25">
      <c r="A358" t="s">
        <v>408</v>
      </c>
      <c r="B358" s="4">
        <v>45478</v>
      </c>
      <c r="C358" s="4" t="str">
        <f>TEXT(Table1[[#This Row],[Order Date]],"mmm")</f>
        <v>Jul</v>
      </c>
      <c r="D358" s="4" t="str">
        <f>TEXT(Table1[[#This Row],[Order Date]],"yyyy")</f>
        <v>2024</v>
      </c>
      <c r="E358" t="s">
        <v>16</v>
      </c>
      <c r="F358" t="s">
        <v>29</v>
      </c>
      <c r="G358" t="s">
        <v>50</v>
      </c>
      <c r="H358" t="s">
        <v>14</v>
      </c>
      <c r="I358">
        <v>1</v>
      </c>
      <c r="J358" s="2">
        <v>22.99</v>
      </c>
      <c r="K358" s="2">
        <v>22.99</v>
      </c>
      <c r="L358">
        <v>4</v>
      </c>
      <c r="M358" t="str">
        <f>IF(Table1[[#This Row],[Customer Rating]]&gt;=3,"Good","Average")</f>
        <v>Good</v>
      </c>
    </row>
    <row r="359" spans="1:13" x14ac:dyDescent="0.25">
      <c r="A359" t="s">
        <v>409</v>
      </c>
      <c r="B359" s="4">
        <v>45786</v>
      </c>
      <c r="C359" s="4" t="str">
        <f>TEXT(Table1[[#This Row],[Order Date]],"mmm")</f>
        <v>May</v>
      </c>
      <c r="D359" s="4" t="str">
        <f>TEXT(Table1[[#This Row],[Order Date]],"yyyy")</f>
        <v>2025</v>
      </c>
      <c r="E359" t="s">
        <v>45</v>
      </c>
      <c r="F359" t="s">
        <v>17</v>
      </c>
      <c r="G359" t="s">
        <v>36</v>
      </c>
      <c r="H359" t="s">
        <v>14</v>
      </c>
      <c r="I359">
        <v>2</v>
      </c>
      <c r="J359" s="2">
        <v>16.989999999999998</v>
      </c>
      <c r="K359" s="2">
        <v>33.979999999999997</v>
      </c>
      <c r="L359">
        <v>4</v>
      </c>
      <c r="M359" t="str">
        <f>IF(Table1[[#This Row],[Customer Rating]]&gt;=3,"Good","Average")</f>
        <v>Good</v>
      </c>
    </row>
    <row r="360" spans="1:13" x14ac:dyDescent="0.25">
      <c r="A360" t="s">
        <v>410</v>
      </c>
      <c r="B360" s="4">
        <v>45885</v>
      </c>
      <c r="C360" s="4" t="str">
        <f>TEXT(Table1[[#This Row],[Order Date]],"mmm")</f>
        <v>Aug</v>
      </c>
      <c r="D360" s="4" t="str">
        <f>TEXT(Table1[[#This Row],[Order Date]],"yyyy")</f>
        <v>2025</v>
      </c>
      <c r="E360" t="s">
        <v>11</v>
      </c>
      <c r="F360" t="s">
        <v>17</v>
      </c>
      <c r="G360" t="s">
        <v>36</v>
      </c>
      <c r="H360" t="s">
        <v>14</v>
      </c>
      <c r="I360">
        <v>3</v>
      </c>
      <c r="J360" s="2">
        <v>16.989999999999998</v>
      </c>
      <c r="K360" s="2">
        <v>50.97</v>
      </c>
      <c r="L360">
        <v>2</v>
      </c>
      <c r="M360" t="str">
        <f>IF(Table1[[#This Row],[Customer Rating]]&gt;=3,"Good","Average")</f>
        <v>Average</v>
      </c>
    </row>
    <row r="361" spans="1:13" x14ac:dyDescent="0.25">
      <c r="A361" t="s">
        <v>411</v>
      </c>
      <c r="B361" s="4">
        <v>45949</v>
      </c>
      <c r="C361" s="4" t="str">
        <f>TEXT(Table1[[#This Row],[Order Date]],"mmm")</f>
        <v>Oct</v>
      </c>
      <c r="D361" s="4" t="str">
        <f>TEXT(Table1[[#This Row],[Order Date]],"yyyy")</f>
        <v>2025</v>
      </c>
      <c r="E361" t="s">
        <v>34</v>
      </c>
      <c r="F361" t="s">
        <v>17</v>
      </c>
      <c r="G361" t="s">
        <v>57</v>
      </c>
      <c r="H361" t="s">
        <v>14</v>
      </c>
      <c r="I361">
        <v>3</v>
      </c>
      <c r="J361" s="2">
        <v>15.99</v>
      </c>
      <c r="K361" s="2">
        <v>47.97</v>
      </c>
      <c r="L361">
        <v>4</v>
      </c>
      <c r="M361" t="str">
        <f>IF(Table1[[#This Row],[Customer Rating]]&gt;=3,"Good","Average")</f>
        <v>Good</v>
      </c>
    </row>
    <row r="362" spans="1:13" x14ac:dyDescent="0.25">
      <c r="A362" t="s">
        <v>412</v>
      </c>
      <c r="B362" s="4">
        <v>45311</v>
      </c>
      <c r="C362" s="4" t="str">
        <f>TEXT(Table1[[#This Row],[Order Date]],"mmm")</f>
        <v>Jan</v>
      </c>
      <c r="D362" s="4" t="str">
        <f>TEXT(Table1[[#This Row],[Order Date]],"yyyy")</f>
        <v>2024</v>
      </c>
      <c r="E362" t="s">
        <v>45</v>
      </c>
      <c r="F362" t="s">
        <v>29</v>
      </c>
      <c r="G362" t="s">
        <v>22</v>
      </c>
      <c r="H362" t="s">
        <v>23</v>
      </c>
      <c r="I362">
        <v>4</v>
      </c>
      <c r="J362" s="2">
        <v>8.99</v>
      </c>
      <c r="K362" s="2">
        <v>35.96</v>
      </c>
      <c r="L362">
        <v>5</v>
      </c>
      <c r="M362" t="str">
        <f>IF(Table1[[#This Row],[Customer Rating]]&gt;=3,"Good","Average")</f>
        <v>Good</v>
      </c>
    </row>
    <row r="363" spans="1:13" x14ac:dyDescent="0.25">
      <c r="A363" t="s">
        <v>413</v>
      </c>
      <c r="B363" s="4">
        <v>45383</v>
      </c>
      <c r="C363" s="4" t="str">
        <f>TEXT(Table1[[#This Row],[Order Date]],"mmm")</f>
        <v>Apr</v>
      </c>
      <c r="D363" s="4" t="str">
        <f>TEXT(Table1[[#This Row],[Order Date]],"yyyy")</f>
        <v>2024</v>
      </c>
      <c r="E363" t="s">
        <v>34</v>
      </c>
      <c r="F363" t="s">
        <v>12</v>
      </c>
      <c r="G363" t="s">
        <v>83</v>
      </c>
      <c r="H363" t="s">
        <v>14</v>
      </c>
      <c r="I363">
        <v>3</v>
      </c>
      <c r="J363" s="2">
        <v>17.989999999999998</v>
      </c>
      <c r="K363" s="2">
        <v>53.97</v>
      </c>
      <c r="L363">
        <v>4</v>
      </c>
      <c r="M363" t="str">
        <f>IF(Table1[[#This Row],[Customer Rating]]&gt;=3,"Good","Average")</f>
        <v>Good</v>
      </c>
    </row>
    <row r="364" spans="1:13" x14ac:dyDescent="0.25">
      <c r="A364" t="s">
        <v>414</v>
      </c>
      <c r="B364" s="4">
        <v>45676</v>
      </c>
      <c r="C364" s="4" t="str">
        <f>TEXT(Table1[[#This Row],[Order Date]],"mmm")</f>
        <v>Jan</v>
      </c>
      <c r="D364" s="4" t="str">
        <f>TEXT(Table1[[#This Row],[Order Date]],"yyyy")</f>
        <v>2025</v>
      </c>
      <c r="E364" t="s">
        <v>97</v>
      </c>
      <c r="F364" t="s">
        <v>17</v>
      </c>
      <c r="G364" t="s">
        <v>83</v>
      </c>
      <c r="H364" t="s">
        <v>14</v>
      </c>
      <c r="I364">
        <v>2</v>
      </c>
      <c r="J364" s="2">
        <v>17.989999999999998</v>
      </c>
      <c r="K364" s="2">
        <v>35.979999999999997</v>
      </c>
      <c r="L364">
        <v>4</v>
      </c>
      <c r="M364" t="str">
        <f>IF(Table1[[#This Row],[Customer Rating]]&gt;=3,"Good","Average")</f>
        <v>Good</v>
      </c>
    </row>
    <row r="365" spans="1:13" x14ac:dyDescent="0.25">
      <c r="A365" t="s">
        <v>415</v>
      </c>
      <c r="B365" s="4">
        <v>45595</v>
      </c>
      <c r="C365" s="4" t="str">
        <f>TEXT(Table1[[#This Row],[Order Date]],"mmm")</f>
        <v>Oct</v>
      </c>
      <c r="D365" s="4" t="str">
        <f>TEXT(Table1[[#This Row],[Order Date]],"yyyy")</f>
        <v>2024</v>
      </c>
      <c r="E365" t="s">
        <v>32</v>
      </c>
      <c r="F365" t="s">
        <v>29</v>
      </c>
      <c r="G365" t="s">
        <v>52</v>
      </c>
      <c r="H365" t="s">
        <v>19</v>
      </c>
      <c r="I365">
        <v>3</v>
      </c>
      <c r="J365" s="2">
        <v>6.99</v>
      </c>
      <c r="K365" s="2">
        <v>20.97</v>
      </c>
      <c r="L365">
        <v>2</v>
      </c>
      <c r="M365" t="str">
        <f>IF(Table1[[#This Row],[Customer Rating]]&gt;=3,"Good","Average")</f>
        <v>Average</v>
      </c>
    </row>
    <row r="366" spans="1:13" x14ac:dyDescent="0.25">
      <c r="A366" t="s">
        <v>416</v>
      </c>
      <c r="B366" s="4">
        <v>45862</v>
      </c>
      <c r="C366" s="4" t="str">
        <f>TEXT(Table1[[#This Row],[Order Date]],"mmm")</f>
        <v>Jul</v>
      </c>
      <c r="D366" s="4" t="str">
        <f>TEXT(Table1[[#This Row],[Order Date]],"yyyy")</f>
        <v>2025</v>
      </c>
      <c r="E366" t="s">
        <v>34</v>
      </c>
      <c r="F366" t="s">
        <v>17</v>
      </c>
      <c r="G366" t="s">
        <v>83</v>
      </c>
      <c r="H366" t="s">
        <v>14</v>
      </c>
      <c r="I366">
        <v>1</v>
      </c>
      <c r="J366" s="2">
        <v>17.989999999999998</v>
      </c>
      <c r="K366" s="2">
        <v>17.989999999999998</v>
      </c>
      <c r="L366">
        <v>4</v>
      </c>
      <c r="M366" t="str">
        <f>IF(Table1[[#This Row],[Customer Rating]]&gt;=3,"Good","Average")</f>
        <v>Good</v>
      </c>
    </row>
    <row r="367" spans="1:13" x14ac:dyDescent="0.25">
      <c r="A367" t="s">
        <v>417</v>
      </c>
      <c r="B367" s="4">
        <v>45513</v>
      </c>
      <c r="C367" s="4" t="str">
        <f>TEXT(Table1[[#This Row],[Order Date]],"mmm")</f>
        <v>Aug</v>
      </c>
      <c r="D367" s="4" t="str">
        <f>TEXT(Table1[[#This Row],[Order Date]],"yyyy")</f>
        <v>2024</v>
      </c>
      <c r="E367" t="s">
        <v>21</v>
      </c>
      <c r="F367" t="s">
        <v>29</v>
      </c>
      <c r="G367" t="s">
        <v>83</v>
      </c>
      <c r="H367" t="s">
        <v>14</v>
      </c>
      <c r="I367">
        <v>1</v>
      </c>
      <c r="J367" s="2">
        <v>17.989999999999998</v>
      </c>
      <c r="K367" s="2">
        <v>17.989999999999998</v>
      </c>
      <c r="L367">
        <v>5</v>
      </c>
      <c r="M367" t="str">
        <f>IF(Table1[[#This Row],[Customer Rating]]&gt;=3,"Good","Average")</f>
        <v>Good</v>
      </c>
    </row>
    <row r="368" spans="1:13" x14ac:dyDescent="0.25">
      <c r="A368" t="s">
        <v>418</v>
      </c>
      <c r="B368" s="4">
        <v>45316</v>
      </c>
      <c r="C368" s="4" t="str">
        <f>TEXT(Table1[[#This Row],[Order Date]],"mmm")</f>
        <v>Jan</v>
      </c>
      <c r="D368" s="4" t="str">
        <f>TEXT(Table1[[#This Row],[Order Date]],"yyyy")</f>
        <v>2024</v>
      </c>
      <c r="E368" t="s">
        <v>16</v>
      </c>
      <c r="F368" t="s">
        <v>29</v>
      </c>
      <c r="G368" t="s">
        <v>13</v>
      </c>
      <c r="H368" t="s">
        <v>14</v>
      </c>
      <c r="I368">
        <v>1</v>
      </c>
      <c r="J368" s="2">
        <v>18.989999999999998</v>
      </c>
      <c r="K368" s="2">
        <v>18.989999999999998</v>
      </c>
      <c r="L368">
        <v>5</v>
      </c>
      <c r="M368" t="str">
        <f>IF(Table1[[#This Row],[Customer Rating]]&gt;=3,"Good","Average")</f>
        <v>Good</v>
      </c>
    </row>
    <row r="369" spans="1:13" x14ac:dyDescent="0.25">
      <c r="A369" t="s">
        <v>419</v>
      </c>
      <c r="B369" s="4">
        <v>46011</v>
      </c>
      <c r="C369" s="4" t="str">
        <f>TEXT(Table1[[#This Row],[Order Date]],"mmm")</f>
        <v>Dec</v>
      </c>
      <c r="D369" s="4" t="str">
        <f>TEXT(Table1[[#This Row],[Order Date]],"yyyy")</f>
        <v>2025</v>
      </c>
      <c r="E369" t="s">
        <v>11</v>
      </c>
      <c r="F369" t="s">
        <v>17</v>
      </c>
      <c r="G369" t="s">
        <v>83</v>
      </c>
      <c r="H369" t="s">
        <v>14</v>
      </c>
      <c r="I369">
        <v>2</v>
      </c>
      <c r="J369" s="2">
        <v>17.989999999999998</v>
      </c>
      <c r="K369" s="2">
        <v>35.979999999999997</v>
      </c>
      <c r="L369">
        <v>3</v>
      </c>
      <c r="M369" t="str">
        <f>IF(Table1[[#This Row],[Customer Rating]]&gt;=3,"Good","Average")</f>
        <v>Good</v>
      </c>
    </row>
    <row r="370" spans="1:13" x14ac:dyDescent="0.25">
      <c r="A370" t="s">
        <v>420</v>
      </c>
      <c r="B370" s="4">
        <v>45580</v>
      </c>
      <c r="C370" s="4" t="str">
        <f>TEXT(Table1[[#This Row],[Order Date]],"mmm")</f>
        <v>Oct</v>
      </c>
      <c r="D370" s="4" t="str">
        <f>TEXT(Table1[[#This Row],[Order Date]],"yyyy")</f>
        <v>2024</v>
      </c>
      <c r="E370" t="s">
        <v>97</v>
      </c>
      <c r="F370" t="s">
        <v>17</v>
      </c>
      <c r="G370" t="s">
        <v>221</v>
      </c>
      <c r="H370" t="s">
        <v>67</v>
      </c>
      <c r="I370">
        <v>3</v>
      </c>
      <c r="J370" s="2">
        <v>9.99</v>
      </c>
      <c r="K370" s="2">
        <v>29.97</v>
      </c>
      <c r="L370">
        <v>3</v>
      </c>
      <c r="M370" t="str">
        <f>IF(Table1[[#This Row],[Customer Rating]]&gt;=3,"Good","Average")</f>
        <v>Good</v>
      </c>
    </row>
    <row r="371" spans="1:13" x14ac:dyDescent="0.25">
      <c r="A371" t="s">
        <v>421</v>
      </c>
      <c r="B371" s="4">
        <v>46010</v>
      </c>
      <c r="C371" s="4" t="str">
        <f>TEXT(Table1[[#This Row],[Order Date]],"mmm")</f>
        <v>Dec</v>
      </c>
      <c r="D371" s="4" t="str">
        <f>TEXT(Table1[[#This Row],[Order Date]],"yyyy")</f>
        <v>2025</v>
      </c>
      <c r="E371" t="s">
        <v>34</v>
      </c>
      <c r="F371" t="s">
        <v>12</v>
      </c>
      <c r="G371" t="s">
        <v>26</v>
      </c>
      <c r="H371" t="s">
        <v>19</v>
      </c>
      <c r="I371">
        <v>1</v>
      </c>
      <c r="J371" s="2">
        <v>3.49</v>
      </c>
      <c r="K371" s="2">
        <v>3.49</v>
      </c>
      <c r="L371">
        <v>5</v>
      </c>
      <c r="M371" t="str">
        <f>IF(Table1[[#This Row],[Customer Rating]]&gt;=3,"Good","Average")</f>
        <v>Good</v>
      </c>
    </row>
    <row r="372" spans="1:13" x14ac:dyDescent="0.25">
      <c r="A372" t="s">
        <v>422</v>
      </c>
      <c r="B372" s="4">
        <v>45899</v>
      </c>
      <c r="C372" s="4" t="str">
        <f>TEXT(Table1[[#This Row],[Order Date]],"mmm")</f>
        <v>Aug</v>
      </c>
      <c r="D372" s="4" t="str">
        <f>TEXT(Table1[[#This Row],[Order Date]],"yyyy")</f>
        <v>2025</v>
      </c>
      <c r="E372" t="s">
        <v>28</v>
      </c>
      <c r="F372" t="s">
        <v>29</v>
      </c>
      <c r="G372" t="s">
        <v>62</v>
      </c>
      <c r="H372" t="s">
        <v>23</v>
      </c>
      <c r="I372">
        <v>2</v>
      </c>
      <c r="J372" s="2">
        <v>9.99</v>
      </c>
      <c r="K372" s="2">
        <v>19.98</v>
      </c>
      <c r="L372">
        <v>5</v>
      </c>
      <c r="M372" t="str">
        <f>IF(Table1[[#This Row],[Customer Rating]]&gt;=3,"Good","Average")</f>
        <v>Good</v>
      </c>
    </row>
    <row r="373" spans="1:13" x14ac:dyDescent="0.25">
      <c r="A373" t="s">
        <v>423</v>
      </c>
      <c r="B373" s="4">
        <v>45695</v>
      </c>
      <c r="C373" s="4" t="str">
        <f>TEXT(Table1[[#This Row],[Order Date]],"mmm")</f>
        <v>Feb</v>
      </c>
      <c r="D373" s="4" t="str">
        <f>TEXT(Table1[[#This Row],[Order Date]],"yyyy")</f>
        <v>2025</v>
      </c>
      <c r="E373" t="s">
        <v>38</v>
      </c>
      <c r="F373" t="s">
        <v>12</v>
      </c>
      <c r="G373" t="s">
        <v>18</v>
      </c>
      <c r="H373" t="s">
        <v>19</v>
      </c>
      <c r="I373">
        <v>4</v>
      </c>
      <c r="J373" s="2">
        <v>9.99</v>
      </c>
      <c r="K373" s="2">
        <v>39.96</v>
      </c>
      <c r="L373">
        <v>4</v>
      </c>
      <c r="M373" t="str">
        <f>IF(Table1[[#This Row],[Customer Rating]]&gt;=3,"Good","Average")</f>
        <v>Good</v>
      </c>
    </row>
    <row r="374" spans="1:13" x14ac:dyDescent="0.25">
      <c r="A374" t="s">
        <v>424</v>
      </c>
      <c r="B374" s="4">
        <v>45748</v>
      </c>
      <c r="C374" s="4" t="str">
        <f>TEXT(Table1[[#This Row],[Order Date]],"mmm")</f>
        <v>Apr</v>
      </c>
      <c r="D374" s="4" t="str">
        <f>TEXT(Table1[[#This Row],[Order Date]],"yyyy")</f>
        <v>2025</v>
      </c>
      <c r="E374" t="s">
        <v>97</v>
      </c>
      <c r="F374" t="s">
        <v>29</v>
      </c>
      <c r="G374" t="s">
        <v>22</v>
      </c>
      <c r="H374" t="s">
        <v>23</v>
      </c>
      <c r="I374">
        <v>1</v>
      </c>
      <c r="J374" s="2">
        <v>8.99</v>
      </c>
      <c r="K374" s="2">
        <v>8.99</v>
      </c>
      <c r="L374">
        <v>3</v>
      </c>
      <c r="M374" t="str">
        <f>IF(Table1[[#This Row],[Customer Rating]]&gt;=3,"Good","Average")</f>
        <v>Good</v>
      </c>
    </row>
    <row r="375" spans="1:13" x14ac:dyDescent="0.25">
      <c r="A375" t="s">
        <v>425</v>
      </c>
      <c r="B375" s="4">
        <v>45751</v>
      </c>
      <c r="C375" s="4" t="str">
        <f>TEXT(Table1[[#This Row],[Order Date]],"mmm")</f>
        <v>Apr</v>
      </c>
      <c r="D375" s="4" t="str">
        <f>TEXT(Table1[[#This Row],[Order Date]],"yyyy")</f>
        <v>2025</v>
      </c>
      <c r="E375" t="s">
        <v>32</v>
      </c>
      <c r="F375" t="s">
        <v>17</v>
      </c>
      <c r="G375" t="s">
        <v>50</v>
      </c>
      <c r="H375" t="s">
        <v>14</v>
      </c>
      <c r="I375">
        <v>1</v>
      </c>
      <c r="J375" s="2">
        <v>22.99</v>
      </c>
      <c r="K375" s="2">
        <v>22.99</v>
      </c>
      <c r="L375">
        <v>2</v>
      </c>
      <c r="M375" t="str">
        <f>IF(Table1[[#This Row],[Customer Rating]]&gt;=3,"Good","Average")</f>
        <v>Average</v>
      </c>
    </row>
    <row r="376" spans="1:13" x14ac:dyDescent="0.25">
      <c r="A376" t="s">
        <v>426</v>
      </c>
      <c r="B376" s="4">
        <v>45945</v>
      </c>
      <c r="C376" s="4" t="str">
        <f>TEXT(Table1[[#This Row],[Order Date]],"mmm")</f>
        <v>Oct</v>
      </c>
      <c r="D376" s="4" t="str">
        <f>TEXT(Table1[[#This Row],[Order Date]],"yyyy")</f>
        <v>2025</v>
      </c>
      <c r="E376" t="s">
        <v>25</v>
      </c>
      <c r="F376" t="s">
        <v>29</v>
      </c>
      <c r="G376" t="s">
        <v>83</v>
      </c>
      <c r="H376" t="s">
        <v>14</v>
      </c>
      <c r="I376">
        <v>2</v>
      </c>
      <c r="J376" s="2">
        <v>17.989999999999998</v>
      </c>
      <c r="K376" s="2">
        <v>35.979999999999997</v>
      </c>
      <c r="L376">
        <v>4</v>
      </c>
      <c r="M376" t="str">
        <f>IF(Table1[[#This Row],[Customer Rating]]&gt;=3,"Good","Average")</f>
        <v>Good</v>
      </c>
    </row>
    <row r="377" spans="1:13" x14ac:dyDescent="0.25">
      <c r="A377" t="s">
        <v>427</v>
      </c>
      <c r="B377" s="4">
        <v>45507</v>
      </c>
      <c r="C377" s="4" t="str">
        <f>TEXT(Table1[[#This Row],[Order Date]],"mmm")</f>
        <v>Aug</v>
      </c>
      <c r="D377" s="4" t="str">
        <f>TEXT(Table1[[#This Row],[Order Date]],"yyyy")</f>
        <v>2024</v>
      </c>
      <c r="E377" t="s">
        <v>28</v>
      </c>
      <c r="F377" t="s">
        <v>12</v>
      </c>
      <c r="G377" t="s">
        <v>50</v>
      </c>
      <c r="H377" t="s">
        <v>14</v>
      </c>
      <c r="I377">
        <v>1</v>
      </c>
      <c r="J377" s="2">
        <v>22.99</v>
      </c>
      <c r="K377" s="2">
        <v>22.99</v>
      </c>
      <c r="L377">
        <v>5</v>
      </c>
      <c r="M377" t="str">
        <f>IF(Table1[[#This Row],[Customer Rating]]&gt;=3,"Good","Average")</f>
        <v>Good</v>
      </c>
    </row>
    <row r="378" spans="1:13" x14ac:dyDescent="0.25">
      <c r="A378" t="s">
        <v>428</v>
      </c>
      <c r="B378" s="4">
        <v>45353</v>
      </c>
      <c r="C378" s="4" t="str">
        <f>TEXT(Table1[[#This Row],[Order Date]],"mmm")</f>
        <v>Mar</v>
      </c>
      <c r="D378" s="4" t="str">
        <f>TEXT(Table1[[#This Row],[Order Date]],"yyyy")</f>
        <v>2024</v>
      </c>
      <c r="E378" t="s">
        <v>25</v>
      </c>
      <c r="F378" t="s">
        <v>17</v>
      </c>
      <c r="G378" t="s">
        <v>13</v>
      </c>
      <c r="H378" t="s">
        <v>14</v>
      </c>
      <c r="I378">
        <v>1</v>
      </c>
      <c r="J378" s="2">
        <v>18.989999999999998</v>
      </c>
      <c r="K378" s="2">
        <v>18.989999999999998</v>
      </c>
      <c r="L378">
        <v>5</v>
      </c>
      <c r="M378" t="str">
        <f>IF(Table1[[#This Row],[Customer Rating]]&gt;=3,"Good","Average")</f>
        <v>Good</v>
      </c>
    </row>
    <row r="379" spans="1:13" x14ac:dyDescent="0.25">
      <c r="A379" t="s">
        <v>429</v>
      </c>
      <c r="B379" s="4">
        <v>45979</v>
      </c>
      <c r="C379" s="4" t="str">
        <f>TEXT(Table1[[#This Row],[Order Date]],"mmm")</f>
        <v>Nov</v>
      </c>
      <c r="D379" s="4" t="str">
        <f>TEXT(Table1[[#This Row],[Order Date]],"yyyy")</f>
        <v>2025</v>
      </c>
      <c r="E379" t="s">
        <v>28</v>
      </c>
      <c r="F379" t="s">
        <v>29</v>
      </c>
      <c r="G379" t="s">
        <v>43</v>
      </c>
      <c r="H379" t="s">
        <v>23</v>
      </c>
      <c r="I379">
        <v>1</v>
      </c>
      <c r="J379" s="2">
        <v>11.99</v>
      </c>
      <c r="K379" s="2">
        <v>11.99</v>
      </c>
      <c r="L379">
        <v>5</v>
      </c>
      <c r="M379" t="str">
        <f>IF(Table1[[#This Row],[Customer Rating]]&gt;=3,"Good","Average")</f>
        <v>Good</v>
      </c>
    </row>
    <row r="380" spans="1:13" x14ac:dyDescent="0.25">
      <c r="A380" t="s">
        <v>430</v>
      </c>
      <c r="B380" s="4">
        <v>45997</v>
      </c>
      <c r="C380" s="4" t="str">
        <f>TEXT(Table1[[#This Row],[Order Date]],"mmm")</f>
        <v>Dec</v>
      </c>
      <c r="D380" s="4" t="str">
        <f>TEXT(Table1[[#This Row],[Order Date]],"yyyy")</f>
        <v>2025</v>
      </c>
      <c r="E380" t="s">
        <v>45</v>
      </c>
      <c r="F380" t="s">
        <v>12</v>
      </c>
      <c r="G380" t="s">
        <v>50</v>
      </c>
      <c r="H380" t="s">
        <v>14</v>
      </c>
      <c r="I380">
        <v>2</v>
      </c>
      <c r="J380" s="2">
        <v>22.99</v>
      </c>
      <c r="K380" s="2">
        <v>45.98</v>
      </c>
      <c r="L380">
        <v>5</v>
      </c>
      <c r="M380" t="str">
        <f>IF(Table1[[#This Row],[Customer Rating]]&gt;=3,"Good","Average")</f>
        <v>Good</v>
      </c>
    </row>
    <row r="381" spans="1:13" x14ac:dyDescent="0.25">
      <c r="A381" t="s">
        <v>431</v>
      </c>
      <c r="B381" s="4">
        <v>45635</v>
      </c>
      <c r="C381" s="4" t="str">
        <f>TEXT(Table1[[#This Row],[Order Date]],"mmm")</f>
        <v>Dec</v>
      </c>
      <c r="D381" s="4" t="str">
        <f>TEXT(Table1[[#This Row],[Order Date]],"yyyy")</f>
        <v>2024</v>
      </c>
      <c r="E381" t="s">
        <v>28</v>
      </c>
      <c r="F381" t="s">
        <v>12</v>
      </c>
      <c r="G381" t="s">
        <v>26</v>
      </c>
      <c r="H381" t="s">
        <v>19</v>
      </c>
      <c r="I381">
        <v>1</v>
      </c>
      <c r="J381" s="2">
        <v>3.49</v>
      </c>
      <c r="K381" s="2">
        <v>3.49</v>
      </c>
      <c r="L381">
        <v>4</v>
      </c>
      <c r="M381" t="str">
        <f>IF(Table1[[#This Row],[Customer Rating]]&gt;=3,"Good","Average")</f>
        <v>Good</v>
      </c>
    </row>
    <row r="382" spans="1:13" x14ac:dyDescent="0.25">
      <c r="A382" t="s">
        <v>432</v>
      </c>
      <c r="B382" s="4">
        <v>45339</v>
      </c>
      <c r="C382" s="4" t="str">
        <f>TEXT(Table1[[#This Row],[Order Date]],"mmm")</f>
        <v>Feb</v>
      </c>
      <c r="D382" s="4" t="str">
        <f>TEXT(Table1[[#This Row],[Order Date]],"yyyy")</f>
        <v>2024</v>
      </c>
      <c r="E382" t="s">
        <v>16</v>
      </c>
      <c r="F382" t="s">
        <v>29</v>
      </c>
      <c r="G382" t="s">
        <v>41</v>
      </c>
      <c r="H382" t="s">
        <v>23</v>
      </c>
      <c r="I382">
        <v>1</v>
      </c>
      <c r="J382" s="2">
        <v>12.99</v>
      </c>
      <c r="K382" s="2">
        <v>12.99</v>
      </c>
      <c r="L382">
        <v>2</v>
      </c>
      <c r="M382" t="str">
        <f>IF(Table1[[#This Row],[Customer Rating]]&gt;=3,"Good","Average")</f>
        <v>Average</v>
      </c>
    </row>
    <row r="383" spans="1:13" x14ac:dyDescent="0.25">
      <c r="A383" t="s">
        <v>433</v>
      </c>
      <c r="B383" s="4">
        <v>45744</v>
      </c>
      <c r="C383" s="4" t="str">
        <f>TEXT(Table1[[#This Row],[Order Date]],"mmm")</f>
        <v>Mar</v>
      </c>
      <c r="D383" s="4" t="str">
        <f>TEXT(Table1[[#This Row],[Order Date]],"yyyy")</f>
        <v>2025</v>
      </c>
      <c r="E383" t="s">
        <v>28</v>
      </c>
      <c r="F383" t="s">
        <v>29</v>
      </c>
      <c r="G383" t="s">
        <v>41</v>
      </c>
      <c r="H383" t="s">
        <v>23</v>
      </c>
      <c r="I383">
        <v>1</v>
      </c>
      <c r="J383" s="2">
        <v>12.99</v>
      </c>
      <c r="K383" s="2">
        <v>12.99</v>
      </c>
      <c r="L383">
        <v>2</v>
      </c>
      <c r="M383" t="str">
        <f>IF(Table1[[#This Row],[Customer Rating]]&gt;=3,"Good","Average")</f>
        <v>Average</v>
      </c>
    </row>
    <row r="384" spans="1:13" x14ac:dyDescent="0.25">
      <c r="A384" t="s">
        <v>434</v>
      </c>
      <c r="B384" s="4">
        <v>45317</v>
      </c>
      <c r="C384" s="4" t="str">
        <f>TEXT(Table1[[#This Row],[Order Date]],"mmm")</f>
        <v>Jan</v>
      </c>
      <c r="D384" s="4" t="str">
        <f>TEXT(Table1[[#This Row],[Order Date]],"yyyy")</f>
        <v>2024</v>
      </c>
      <c r="E384" t="s">
        <v>21</v>
      </c>
      <c r="F384" t="s">
        <v>12</v>
      </c>
      <c r="G384" t="s">
        <v>66</v>
      </c>
      <c r="H384" t="s">
        <v>67</v>
      </c>
      <c r="I384">
        <v>1</v>
      </c>
      <c r="J384" s="2">
        <v>7.99</v>
      </c>
      <c r="K384" s="2">
        <v>7.99</v>
      </c>
      <c r="L384">
        <v>5</v>
      </c>
      <c r="M384" t="str">
        <f>IF(Table1[[#This Row],[Customer Rating]]&gt;=3,"Good","Average")</f>
        <v>Good</v>
      </c>
    </row>
    <row r="385" spans="1:13" x14ac:dyDescent="0.25">
      <c r="A385" t="s">
        <v>435</v>
      </c>
      <c r="B385" s="4">
        <v>45436</v>
      </c>
      <c r="C385" s="4" t="str">
        <f>TEXT(Table1[[#This Row],[Order Date]],"mmm")</f>
        <v>May</v>
      </c>
      <c r="D385" s="4" t="str">
        <f>TEXT(Table1[[#This Row],[Order Date]],"yyyy")</f>
        <v>2024</v>
      </c>
      <c r="E385" t="s">
        <v>45</v>
      </c>
      <c r="F385" t="s">
        <v>29</v>
      </c>
      <c r="G385" t="s">
        <v>30</v>
      </c>
      <c r="H385" t="s">
        <v>19</v>
      </c>
      <c r="I385">
        <v>2</v>
      </c>
      <c r="J385" s="2">
        <v>7.99</v>
      </c>
      <c r="K385" s="2">
        <v>15.98</v>
      </c>
      <c r="L385">
        <v>4</v>
      </c>
      <c r="M385" t="str">
        <f>IF(Table1[[#This Row],[Customer Rating]]&gt;=3,"Good","Average")</f>
        <v>Good</v>
      </c>
    </row>
    <row r="386" spans="1:13" x14ac:dyDescent="0.25">
      <c r="A386" t="s">
        <v>436</v>
      </c>
      <c r="B386" s="4">
        <v>45640</v>
      </c>
      <c r="C386" s="4" t="str">
        <f>TEXT(Table1[[#This Row],[Order Date]],"mmm")</f>
        <v>Dec</v>
      </c>
      <c r="D386" s="4" t="str">
        <f>TEXT(Table1[[#This Row],[Order Date]],"yyyy")</f>
        <v>2024</v>
      </c>
      <c r="E386" t="s">
        <v>97</v>
      </c>
      <c r="F386" t="s">
        <v>29</v>
      </c>
      <c r="G386" t="s">
        <v>50</v>
      </c>
      <c r="H386" t="s">
        <v>14</v>
      </c>
      <c r="I386">
        <v>2</v>
      </c>
      <c r="J386" s="2">
        <v>22.99</v>
      </c>
      <c r="K386" s="2">
        <v>45.98</v>
      </c>
      <c r="L386">
        <v>4</v>
      </c>
      <c r="M386" t="str">
        <f>IF(Table1[[#This Row],[Customer Rating]]&gt;=3,"Good","Average")</f>
        <v>Good</v>
      </c>
    </row>
    <row r="387" spans="1:13" x14ac:dyDescent="0.25">
      <c r="A387" t="s">
        <v>437</v>
      </c>
      <c r="B387" s="4">
        <v>45990</v>
      </c>
      <c r="C387" s="4" t="str">
        <f>TEXT(Table1[[#This Row],[Order Date]],"mmm")</f>
        <v>Nov</v>
      </c>
      <c r="D387" s="4" t="str">
        <f>TEXT(Table1[[#This Row],[Order Date]],"yyyy")</f>
        <v>2025</v>
      </c>
      <c r="E387" t="s">
        <v>32</v>
      </c>
      <c r="F387" t="s">
        <v>12</v>
      </c>
      <c r="G387" t="s">
        <v>112</v>
      </c>
      <c r="H387" t="s">
        <v>19</v>
      </c>
      <c r="I387">
        <v>1</v>
      </c>
      <c r="J387" s="2">
        <v>5.99</v>
      </c>
      <c r="K387" s="2">
        <v>5.99</v>
      </c>
      <c r="L387">
        <v>5</v>
      </c>
      <c r="M387" t="str">
        <f>IF(Table1[[#This Row],[Customer Rating]]&gt;=3,"Good","Average")</f>
        <v>Good</v>
      </c>
    </row>
    <row r="388" spans="1:13" x14ac:dyDescent="0.25">
      <c r="A388" t="s">
        <v>438</v>
      </c>
      <c r="B388" s="4">
        <v>45610</v>
      </c>
      <c r="C388" s="4" t="str">
        <f>TEXT(Table1[[#This Row],[Order Date]],"mmm")</f>
        <v>Nov</v>
      </c>
      <c r="D388" s="4" t="str">
        <f>TEXT(Table1[[#This Row],[Order Date]],"yyyy")</f>
        <v>2024</v>
      </c>
      <c r="E388" t="s">
        <v>11</v>
      </c>
      <c r="F388" t="s">
        <v>29</v>
      </c>
      <c r="G388" t="s">
        <v>30</v>
      </c>
      <c r="H388" t="s">
        <v>19</v>
      </c>
      <c r="I388">
        <v>2</v>
      </c>
      <c r="J388" s="2">
        <v>7.99</v>
      </c>
      <c r="K388" s="2">
        <v>15.98</v>
      </c>
      <c r="L388">
        <v>4</v>
      </c>
      <c r="M388" t="str">
        <f>IF(Table1[[#This Row],[Customer Rating]]&gt;=3,"Good","Average")</f>
        <v>Good</v>
      </c>
    </row>
    <row r="389" spans="1:13" x14ac:dyDescent="0.25">
      <c r="A389" t="s">
        <v>439</v>
      </c>
      <c r="B389" s="4">
        <v>45786</v>
      </c>
      <c r="C389" s="4" t="str">
        <f>TEXT(Table1[[#This Row],[Order Date]],"mmm")</f>
        <v>May</v>
      </c>
      <c r="D389" s="4" t="str">
        <f>TEXT(Table1[[#This Row],[Order Date]],"yyyy")</f>
        <v>2025</v>
      </c>
      <c r="E389" t="s">
        <v>16</v>
      </c>
      <c r="F389" t="s">
        <v>29</v>
      </c>
      <c r="G389" t="s">
        <v>41</v>
      </c>
      <c r="H389" t="s">
        <v>23</v>
      </c>
      <c r="I389">
        <v>1</v>
      </c>
      <c r="J389" s="2">
        <v>12.99</v>
      </c>
      <c r="K389" s="2">
        <v>12.99</v>
      </c>
      <c r="L389">
        <v>3</v>
      </c>
      <c r="M389" t="str">
        <f>IF(Table1[[#This Row],[Customer Rating]]&gt;=3,"Good","Average")</f>
        <v>Good</v>
      </c>
    </row>
    <row r="390" spans="1:13" x14ac:dyDescent="0.25">
      <c r="A390" t="s">
        <v>440</v>
      </c>
      <c r="B390" s="4">
        <v>45555</v>
      </c>
      <c r="C390" s="4" t="str">
        <f>TEXT(Table1[[#This Row],[Order Date]],"mmm")</f>
        <v>Sep</v>
      </c>
      <c r="D390" s="4" t="str">
        <f>TEXT(Table1[[#This Row],[Order Date]],"yyyy")</f>
        <v>2024</v>
      </c>
      <c r="E390" t="s">
        <v>38</v>
      </c>
      <c r="F390" t="s">
        <v>29</v>
      </c>
      <c r="G390" t="s">
        <v>83</v>
      </c>
      <c r="H390" t="s">
        <v>14</v>
      </c>
      <c r="I390">
        <v>3</v>
      </c>
      <c r="J390" s="2">
        <v>17.989999999999998</v>
      </c>
      <c r="K390" s="2">
        <v>53.97</v>
      </c>
      <c r="L390">
        <v>5</v>
      </c>
      <c r="M390" t="str">
        <f>IF(Table1[[#This Row],[Customer Rating]]&gt;=3,"Good","Average")</f>
        <v>Good</v>
      </c>
    </row>
    <row r="391" spans="1:13" x14ac:dyDescent="0.25">
      <c r="A391" t="s">
        <v>441</v>
      </c>
      <c r="B391" s="4">
        <v>45922</v>
      </c>
      <c r="C391" s="4" t="str">
        <f>TEXT(Table1[[#This Row],[Order Date]],"mmm")</f>
        <v>Sep</v>
      </c>
      <c r="D391" s="4" t="str">
        <f>TEXT(Table1[[#This Row],[Order Date]],"yyyy")</f>
        <v>2025</v>
      </c>
      <c r="E391" t="s">
        <v>45</v>
      </c>
      <c r="F391" t="s">
        <v>29</v>
      </c>
      <c r="G391" t="s">
        <v>39</v>
      </c>
      <c r="H391" t="s">
        <v>14</v>
      </c>
      <c r="I391">
        <v>2</v>
      </c>
      <c r="J391" s="2">
        <v>24.99</v>
      </c>
      <c r="K391" s="2">
        <v>49.98</v>
      </c>
      <c r="L391">
        <v>3</v>
      </c>
      <c r="M391" t="str">
        <f>IF(Table1[[#This Row],[Customer Rating]]&gt;=3,"Good","Average")</f>
        <v>Good</v>
      </c>
    </row>
    <row r="392" spans="1:13" x14ac:dyDescent="0.25">
      <c r="A392" t="s">
        <v>442</v>
      </c>
      <c r="B392" s="4">
        <v>45903</v>
      </c>
      <c r="C392" s="4" t="str">
        <f>TEXT(Table1[[#This Row],[Order Date]],"mmm")</f>
        <v>Sep</v>
      </c>
      <c r="D392" s="4" t="str">
        <f>TEXT(Table1[[#This Row],[Order Date]],"yyyy")</f>
        <v>2025</v>
      </c>
      <c r="E392" t="s">
        <v>97</v>
      </c>
      <c r="F392" t="s">
        <v>17</v>
      </c>
      <c r="G392" t="s">
        <v>221</v>
      </c>
      <c r="H392" t="s">
        <v>67</v>
      </c>
      <c r="I392">
        <v>1</v>
      </c>
      <c r="J392" s="2">
        <v>9.99</v>
      </c>
      <c r="K392" s="2">
        <v>9.99</v>
      </c>
      <c r="L392">
        <v>3</v>
      </c>
      <c r="M392" t="str">
        <f>IF(Table1[[#This Row],[Customer Rating]]&gt;=3,"Good","Average")</f>
        <v>Good</v>
      </c>
    </row>
    <row r="393" spans="1:13" x14ac:dyDescent="0.25">
      <c r="A393" t="s">
        <v>443</v>
      </c>
      <c r="B393" s="4">
        <v>45742</v>
      </c>
      <c r="C393" s="4" t="str">
        <f>TEXT(Table1[[#This Row],[Order Date]],"mmm")</f>
        <v>Mar</v>
      </c>
      <c r="D393" s="4" t="str">
        <f>TEXT(Table1[[#This Row],[Order Date]],"yyyy")</f>
        <v>2025</v>
      </c>
      <c r="E393" t="s">
        <v>32</v>
      </c>
      <c r="F393" t="s">
        <v>12</v>
      </c>
      <c r="G393" t="s">
        <v>69</v>
      </c>
      <c r="H393" t="s">
        <v>67</v>
      </c>
      <c r="I393">
        <v>2</v>
      </c>
      <c r="J393" s="2">
        <v>8.99</v>
      </c>
      <c r="K393" s="2">
        <v>17.98</v>
      </c>
      <c r="L393">
        <v>5</v>
      </c>
      <c r="M393" t="str">
        <f>IF(Table1[[#This Row],[Customer Rating]]&gt;=3,"Good","Average")</f>
        <v>Good</v>
      </c>
    </row>
    <row r="394" spans="1:13" x14ac:dyDescent="0.25">
      <c r="A394" t="s">
        <v>444</v>
      </c>
      <c r="B394" s="4">
        <v>45899</v>
      </c>
      <c r="C394" s="4" t="str">
        <f>TEXT(Table1[[#This Row],[Order Date]],"mmm")</f>
        <v>Aug</v>
      </c>
      <c r="D394" s="4" t="str">
        <f>TEXT(Table1[[#This Row],[Order Date]],"yyyy")</f>
        <v>2025</v>
      </c>
      <c r="E394" t="s">
        <v>21</v>
      </c>
      <c r="F394" t="s">
        <v>29</v>
      </c>
      <c r="G394" t="s">
        <v>66</v>
      </c>
      <c r="H394" t="s">
        <v>67</v>
      </c>
      <c r="I394">
        <v>1</v>
      </c>
      <c r="J394" s="2">
        <v>7.99</v>
      </c>
      <c r="K394" s="2">
        <v>7.99</v>
      </c>
      <c r="L394">
        <v>3</v>
      </c>
      <c r="M394" t="str">
        <f>IF(Table1[[#This Row],[Customer Rating]]&gt;=3,"Good","Average")</f>
        <v>Good</v>
      </c>
    </row>
    <row r="395" spans="1:13" x14ac:dyDescent="0.25">
      <c r="A395" t="s">
        <v>445</v>
      </c>
      <c r="B395" s="4">
        <v>45753</v>
      </c>
      <c r="C395" s="4" t="str">
        <f>TEXT(Table1[[#This Row],[Order Date]],"mmm")</f>
        <v>Apr</v>
      </c>
      <c r="D395" s="4" t="str">
        <f>TEXT(Table1[[#This Row],[Order Date]],"yyyy")</f>
        <v>2025</v>
      </c>
      <c r="E395" t="s">
        <v>25</v>
      </c>
      <c r="F395" t="s">
        <v>12</v>
      </c>
      <c r="G395" t="s">
        <v>52</v>
      </c>
      <c r="H395" t="s">
        <v>19</v>
      </c>
      <c r="I395">
        <v>3</v>
      </c>
      <c r="J395" s="2">
        <v>6.99</v>
      </c>
      <c r="K395" s="2">
        <v>20.97</v>
      </c>
      <c r="L395">
        <v>4</v>
      </c>
      <c r="M395" t="str">
        <f>IF(Table1[[#This Row],[Customer Rating]]&gt;=3,"Good","Average")</f>
        <v>Good</v>
      </c>
    </row>
    <row r="396" spans="1:13" x14ac:dyDescent="0.25">
      <c r="A396" t="s">
        <v>446</v>
      </c>
      <c r="B396" s="4">
        <v>45550</v>
      </c>
      <c r="C396" s="4" t="str">
        <f>TEXT(Table1[[#This Row],[Order Date]],"mmm")</f>
        <v>Sep</v>
      </c>
      <c r="D396" s="4" t="str">
        <f>TEXT(Table1[[#This Row],[Order Date]],"yyyy")</f>
        <v>2024</v>
      </c>
      <c r="E396" t="s">
        <v>34</v>
      </c>
      <c r="F396" t="s">
        <v>17</v>
      </c>
      <c r="G396" t="s">
        <v>176</v>
      </c>
      <c r="H396" t="s">
        <v>67</v>
      </c>
      <c r="I396">
        <v>1</v>
      </c>
      <c r="J396" s="2">
        <v>11.99</v>
      </c>
      <c r="K396" s="2">
        <v>11.99</v>
      </c>
      <c r="L396">
        <v>4</v>
      </c>
      <c r="M396" t="str">
        <f>IF(Table1[[#This Row],[Customer Rating]]&gt;=3,"Good","Average")</f>
        <v>Good</v>
      </c>
    </row>
    <row r="397" spans="1:13" x14ac:dyDescent="0.25">
      <c r="A397" t="s">
        <v>447</v>
      </c>
      <c r="B397" s="4">
        <v>45884</v>
      </c>
      <c r="C397" s="4" t="str">
        <f>TEXT(Table1[[#This Row],[Order Date]],"mmm")</f>
        <v>Aug</v>
      </c>
      <c r="D397" s="4" t="str">
        <f>TEXT(Table1[[#This Row],[Order Date]],"yyyy")</f>
        <v>2025</v>
      </c>
      <c r="E397" t="s">
        <v>38</v>
      </c>
      <c r="F397" t="s">
        <v>17</v>
      </c>
      <c r="G397" t="s">
        <v>36</v>
      </c>
      <c r="H397" t="s">
        <v>14</v>
      </c>
      <c r="I397">
        <v>3</v>
      </c>
      <c r="J397" s="2">
        <v>16.989999999999998</v>
      </c>
      <c r="K397" s="2">
        <v>50.97</v>
      </c>
      <c r="L397">
        <v>4</v>
      </c>
      <c r="M397" t="str">
        <f>IF(Table1[[#This Row],[Customer Rating]]&gt;=3,"Good","Average")</f>
        <v>Good</v>
      </c>
    </row>
    <row r="398" spans="1:13" x14ac:dyDescent="0.25">
      <c r="A398" t="s">
        <v>448</v>
      </c>
      <c r="B398" s="4">
        <v>45963</v>
      </c>
      <c r="C398" s="4" t="str">
        <f>TEXT(Table1[[#This Row],[Order Date]],"mmm")</f>
        <v>Nov</v>
      </c>
      <c r="D398" s="4" t="str">
        <f>TEXT(Table1[[#This Row],[Order Date]],"yyyy")</f>
        <v>2025</v>
      </c>
      <c r="E398" t="s">
        <v>28</v>
      </c>
      <c r="F398" t="s">
        <v>29</v>
      </c>
      <c r="G398" t="s">
        <v>22</v>
      </c>
      <c r="H398" t="s">
        <v>23</v>
      </c>
      <c r="I398">
        <v>1</v>
      </c>
      <c r="J398" s="2">
        <v>8.99</v>
      </c>
      <c r="K398" s="2">
        <v>8.99</v>
      </c>
      <c r="L398">
        <v>4</v>
      </c>
      <c r="M398" t="str">
        <f>IF(Table1[[#This Row],[Customer Rating]]&gt;=3,"Good","Average")</f>
        <v>Good</v>
      </c>
    </row>
    <row r="399" spans="1:13" x14ac:dyDescent="0.25">
      <c r="A399" t="s">
        <v>449</v>
      </c>
      <c r="B399" s="4">
        <v>45587</v>
      </c>
      <c r="C399" s="4" t="str">
        <f>TEXT(Table1[[#This Row],[Order Date]],"mmm")</f>
        <v>Oct</v>
      </c>
      <c r="D399" s="4" t="str">
        <f>TEXT(Table1[[#This Row],[Order Date]],"yyyy")</f>
        <v>2024</v>
      </c>
      <c r="E399" t="s">
        <v>34</v>
      </c>
      <c r="F399" t="s">
        <v>29</v>
      </c>
      <c r="G399" t="s">
        <v>62</v>
      </c>
      <c r="H399" t="s">
        <v>23</v>
      </c>
      <c r="I399">
        <v>1</v>
      </c>
      <c r="J399" s="2">
        <v>9.99</v>
      </c>
      <c r="K399" s="2">
        <v>9.99</v>
      </c>
      <c r="L399">
        <v>3</v>
      </c>
      <c r="M399" t="str">
        <f>IF(Table1[[#This Row],[Customer Rating]]&gt;=3,"Good","Average")</f>
        <v>Good</v>
      </c>
    </row>
    <row r="400" spans="1:13" x14ac:dyDescent="0.25">
      <c r="A400" t="s">
        <v>450</v>
      </c>
      <c r="B400" s="4">
        <v>45495</v>
      </c>
      <c r="C400" s="4" t="str">
        <f>TEXT(Table1[[#This Row],[Order Date]],"mmm")</f>
        <v>Jul</v>
      </c>
      <c r="D400" s="4" t="str">
        <f>TEXT(Table1[[#This Row],[Order Date]],"yyyy")</f>
        <v>2024</v>
      </c>
      <c r="E400" t="s">
        <v>32</v>
      </c>
      <c r="F400" t="s">
        <v>17</v>
      </c>
      <c r="G400" t="s">
        <v>22</v>
      </c>
      <c r="H400" t="s">
        <v>23</v>
      </c>
      <c r="I400">
        <v>1</v>
      </c>
      <c r="J400" s="2">
        <v>8.99</v>
      </c>
      <c r="K400" s="2">
        <v>8.99</v>
      </c>
      <c r="L400">
        <v>3</v>
      </c>
      <c r="M400" t="str">
        <f>IF(Table1[[#This Row],[Customer Rating]]&gt;=3,"Good","Average")</f>
        <v>Good</v>
      </c>
    </row>
    <row r="401" spans="1:13" x14ac:dyDescent="0.25">
      <c r="A401" t="s">
        <v>451</v>
      </c>
      <c r="B401" s="4">
        <v>45952</v>
      </c>
      <c r="C401" s="4" t="str">
        <f>TEXT(Table1[[#This Row],[Order Date]],"mmm")</f>
        <v>Oct</v>
      </c>
      <c r="D401" s="4" t="str">
        <f>TEXT(Table1[[#This Row],[Order Date]],"yyyy")</f>
        <v>2025</v>
      </c>
      <c r="E401" t="s">
        <v>45</v>
      </c>
      <c r="F401" t="s">
        <v>17</v>
      </c>
      <c r="G401" t="s">
        <v>22</v>
      </c>
      <c r="H401" t="s">
        <v>23</v>
      </c>
      <c r="I401">
        <v>1</v>
      </c>
      <c r="J401" s="2">
        <v>8.99</v>
      </c>
      <c r="K401" s="2">
        <v>8.99</v>
      </c>
      <c r="L401">
        <v>5</v>
      </c>
      <c r="M401" t="str">
        <f>IF(Table1[[#This Row],[Customer Rating]]&gt;=3,"Good","Average")</f>
        <v>Good</v>
      </c>
    </row>
    <row r="402" spans="1:13" x14ac:dyDescent="0.25">
      <c r="A402" t="s">
        <v>452</v>
      </c>
      <c r="B402" s="4">
        <v>45362</v>
      </c>
      <c r="C402" s="4" t="str">
        <f>TEXT(Table1[[#This Row],[Order Date]],"mmm")</f>
        <v>Mar</v>
      </c>
      <c r="D402" s="4" t="str">
        <f>TEXT(Table1[[#This Row],[Order Date]],"yyyy")</f>
        <v>2024</v>
      </c>
      <c r="E402" t="s">
        <v>28</v>
      </c>
      <c r="F402" t="s">
        <v>17</v>
      </c>
      <c r="G402" t="s">
        <v>55</v>
      </c>
      <c r="H402" t="s">
        <v>23</v>
      </c>
      <c r="I402">
        <v>2</v>
      </c>
      <c r="J402" s="2">
        <v>10.99</v>
      </c>
      <c r="K402" s="2">
        <v>21.98</v>
      </c>
      <c r="L402">
        <v>4</v>
      </c>
      <c r="M402" t="str">
        <f>IF(Table1[[#This Row],[Customer Rating]]&gt;=3,"Good","Average")</f>
        <v>Good</v>
      </c>
    </row>
    <row r="403" spans="1:13" x14ac:dyDescent="0.25">
      <c r="A403" t="s">
        <v>453</v>
      </c>
      <c r="B403" s="4">
        <v>45355</v>
      </c>
      <c r="C403" s="4" t="str">
        <f>TEXT(Table1[[#This Row],[Order Date]],"mmm")</f>
        <v>Mar</v>
      </c>
      <c r="D403" s="4" t="str">
        <f>TEXT(Table1[[#This Row],[Order Date]],"yyyy")</f>
        <v>2024</v>
      </c>
      <c r="E403" t="s">
        <v>34</v>
      </c>
      <c r="F403" t="s">
        <v>29</v>
      </c>
      <c r="G403" t="s">
        <v>36</v>
      </c>
      <c r="H403" t="s">
        <v>14</v>
      </c>
      <c r="I403">
        <v>1</v>
      </c>
      <c r="J403" s="2">
        <v>16.989999999999998</v>
      </c>
      <c r="K403" s="2">
        <v>16.989999999999998</v>
      </c>
      <c r="L403">
        <v>4</v>
      </c>
      <c r="M403" t="str">
        <f>IF(Table1[[#This Row],[Customer Rating]]&gt;=3,"Good","Average")</f>
        <v>Good</v>
      </c>
    </row>
    <row r="404" spans="1:13" x14ac:dyDescent="0.25">
      <c r="A404" t="s">
        <v>454</v>
      </c>
      <c r="B404" s="4">
        <v>45347</v>
      </c>
      <c r="C404" s="4" t="str">
        <f>TEXT(Table1[[#This Row],[Order Date]],"mmm")</f>
        <v>Feb</v>
      </c>
      <c r="D404" s="4" t="str">
        <f>TEXT(Table1[[#This Row],[Order Date]],"yyyy")</f>
        <v>2024</v>
      </c>
      <c r="E404" t="s">
        <v>38</v>
      </c>
      <c r="F404" t="s">
        <v>17</v>
      </c>
      <c r="G404" t="s">
        <v>46</v>
      </c>
      <c r="H404" t="s">
        <v>14</v>
      </c>
      <c r="I404">
        <v>2</v>
      </c>
      <c r="J404" s="2">
        <v>32.99</v>
      </c>
      <c r="K404" s="2">
        <v>65.98</v>
      </c>
      <c r="L404">
        <v>4</v>
      </c>
      <c r="M404" t="str">
        <f>IF(Table1[[#This Row],[Customer Rating]]&gt;=3,"Good","Average")</f>
        <v>Good</v>
      </c>
    </row>
    <row r="405" spans="1:13" x14ac:dyDescent="0.25">
      <c r="A405" t="s">
        <v>455</v>
      </c>
      <c r="B405" s="4">
        <v>45578</v>
      </c>
      <c r="C405" s="4" t="str">
        <f>TEXT(Table1[[#This Row],[Order Date]],"mmm")</f>
        <v>Oct</v>
      </c>
      <c r="D405" s="4" t="str">
        <f>TEXT(Table1[[#This Row],[Order Date]],"yyyy")</f>
        <v>2024</v>
      </c>
      <c r="E405" t="s">
        <v>32</v>
      </c>
      <c r="F405" t="s">
        <v>29</v>
      </c>
      <c r="G405" t="s">
        <v>43</v>
      </c>
      <c r="H405" t="s">
        <v>23</v>
      </c>
      <c r="I405">
        <v>3</v>
      </c>
      <c r="J405" s="2">
        <v>11.99</v>
      </c>
      <c r="K405" s="2">
        <v>35.97</v>
      </c>
      <c r="L405">
        <v>5</v>
      </c>
      <c r="M405" t="str">
        <f>IF(Table1[[#This Row],[Customer Rating]]&gt;=3,"Good","Average")</f>
        <v>Good</v>
      </c>
    </row>
    <row r="406" spans="1:13" x14ac:dyDescent="0.25">
      <c r="A406" t="s">
        <v>456</v>
      </c>
      <c r="B406" s="4">
        <v>45942</v>
      </c>
      <c r="C406" s="4" t="str">
        <f>TEXT(Table1[[#This Row],[Order Date]],"mmm")</f>
        <v>Oct</v>
      </c>
      <c r="D406" s="4" t="str">
        <f>TEXT(Table1[[#This Row],[Order Date]],"yyyy")</f>
        <v>2025</v>
      </c>
      <c r="E406" t="s">
        <v>45</v>
      </c>
      <c r="F406" t="s">
        <v>29</v>
      </c>
      <c r="G406" t="s">
        <v>26</v>
      </c>
      <c r="H406" t="s">
        <v>19</v>
      </c>
      <c r="I406">
        <v>2</v>
      </c>
      <c r="J406" s="2">
        <v>3.49</v>
      </c>
      <c r="K406" s="2">
        <v>6.98</v>
      </c>
      <c r="L406">
        <v>5</v>
      </c>
      <c r="M406" t="str">
        <f>IF(Table1[[#This Row],[Customer Rating]]&gt;=3,"Good","Average")</f>
        <v>Good</v>
      </c>
    </row>
    <row r="407" spans="1:13" x14ac:dyDescent="0.25">
      <c r="A407" t="s">
        <v>457</v>
      </c>
      <c r="B407" s="4">
        <v>45437</v>
      </c>
      <c r="C407" s="4" t="str">
        <f>TEXT(Table1[[#This Row],[Order Date]],"mmm")</f>
        <v>May</v>
      </c>
      <c r="D407" s="4" t="str">
        <f>TEXT(Table1[[#This Row],[Order Date]],"yyyy")</f>
        <v>2024</v>
      </c>
      <c r="E407" t="s">
        <v>11</v>
      </c>
      <c r="F407" t="s">
        <v>12</v>
      </c>
      <c r="G407" t="s">
        <v>176</v>
      </c>
      <c r="H407" t="s">
        <v>67</v>
      </c>
      <c r="I407">
        <v>1</v>
      </c>
      <c r="J407" s="2">
        <v>11.99</v>
      </c>
      <c r="K407" s="2">
        <v>11.99</v>
      </c>
      <c r="L407">
        <v>4</v>
      </c>
      <c r="M407" t="str">
        <f>IF(Table1[[#This Row],[Customer Rating]]&gt;=3,"Good","Average")</f>
        <v>Good</v>
      </c>
    </row>
    <row r="408" spans="1:13" x14ac:dyDescent="0.25">
      <c r="A408" t="s">
        <v>458</v>
      </c>
      <c r="B408" s="4">
        <v>45564</v>
      </c>
      <c r="C408" s="4" t="str">
        <f>TEXT(Table1[[#This Row],[Order Date]],"mmm")</f>
        <v>Sep</v>
      </c>
      <c r="D408" s="4" t="str">
        <f>TEXT(Table1[[#This Row],[Order Date]],"yyyy")</f>
        <v>2024</v>
      </c>
      <c r="E408" t="s">
        <v>97</v>
      </c>
      <c r="F408" t="s">
        <v>29</v>
      </c>
      <c r="G408" t="s">
        <v>26</v>
      </c>
      <c r="H408" t="s">
        <v>19</v>
      </c>
      <c r="I408">
        <v>1</v>
      </c>
      <c r="J408" s="2">
        <v>3.49</v>
      </c>
      <c r="K408" s="2">
        <v>3.49</v>
      </c>
      <c r="L408">
        <v>4</v>
      </c>
      <c r="M408" t="str">
        <f>IF(Table1[[#This Row],[Customer Rating]]&gt;=3,"Good","Average")</f>
        <v>Good</v>
      </c>
    </row>
    <row r="409" spans="1:13" x14ac:dyDescent="0.25">
      <c r="A409" t="s">
        <v>459</v>
      </c>
      <c r="B409" s="4">
        <v>45479</v>
      </c>
      <c r="C409" s="4" t="str">
        <f>TEXT(Table1[[#This Row],[Order Date]],"mmm")</f>
        <v>Jul</v>
      </c>
      <c r="D409" s="4" t="str">
        <f>TEXT(Table1[[#This Row],[Order Date]],"yyyy")</f>
        <v>2024</v>
      </c>
      <c r="E409" t="s">
        <v>34</v>
      </c>
      <c r="F409" t="s">
        <v>12</v>
      </c>
      <c r="G409" t="s">
        <v>46</v>
      </c>
      <c r="H409" t="s">
        <v>14</v>
      </c>
      <c r="I409">
        <v>2</v>
      </c>
      <c r="J409" s="2">
        <v>32.99</v>
      </c>
      <c r="K409" s="2">
        <v>65.98</v>
      </c>
      <c r="L409">
        <v>5</v>
      </c>
      <c r="M409" t="str">
        <f>IF(Table1[[#This Row],[Customer Rating]]&gt;=3,"Good","Average")</f>
        <v>Good</v>
      </c>
    </row>
    <row r="410" spans="1:13" x14ac:dyDescent="0.25">
      <c r="A410" t="s">
        <v>460</v>
      </c>
      <c r="B410" s="4">
        <v>45892</v>
      </c>
      <c r="C410" s="4" t="str">
        <f>TEXT(Table1[[#This Row],[Order Date]],"mmm")</f>
        <v>Aug</v>
      </c>
      <c r="D410" s="4" t="str">
        <f>TEXT(Table1[[#This Row],[Order Date]],"yyyy")</f>
        <v>2025</v>
      </c>
      <c r="E410" t="s">
        <v>32</v>
      </c>
      <c r="F410" t="s">
        <v>29</v>
      </c>
      <c r="G410" t="s">
        <v>41</v>
      </c>
      <c r="H410" t="s">
        <v>23</v>
      </c>
      <c r="I410">
        <v>3</v>
      </c>
      <c r="J410" s="2">
        <v>12.99</v>
      </c>
      <c r="K410" s="2">
        <v>38.97</v>
      </c>
      <c r="L410">
        <v>5</v>
      </c>
      <c r="M410" t="str">
        <f>IF(Table1[[#This Row],[Customer Rating]]&gt;=3,"Good","Average")</f>
        <v>Good</v>
      </c>
    </row>
    <row r="411" spans="1:13" x14ac:dyDescent="0.25">
      <c r="A411" t="s">
        <v>461</v>
      </c>
      <c r="B411" s="4">
        <v>45751</v>
      </c>
      <c r="C411" s="4" t="str">
        <f>TEXT(Table1[[#This Row],[Order Date]],"mmm")</f>
        <v>Apr</v>
      </c>
      <c r="D411" s="4" t="str">
        <f>TEXT(Table1[[#This Row],[Order Date]],"yyyy")</f>
        <v>2025</v>
      </c>
      <c r="E411" t="s">
        <v>97</v>
      </c>
      <c r="F411" t="s">
        <v>17</v>
      </c>
      <c r="G411" t="s">
        <v>36</v>
      </c>
      <c r="H411" t="s">
        <v>14</v>
      </c>
      <c r="I411">
        <v>1</v>
      </c>
      <c r="J411" s="2">
        <v>16.989999999999998</v>
      </c>
      <c r="K411" s="2">
        <v>16.989999999999998</v>
      </c>
      <c r="L411">
        <v>4</v>
      </c>
      <c r="M411" t="str">
        <f>IF(Table1[[#This Row],[Customer Rating]]&gt;=3,"Good","Average")</f>
        <v>Good</v>
      </c>
    </row>
    <row r="412" spans="1:13" x14ac:dyDescent="0.25">
      <c r="A412" t="s">
        <v>462</v>
      </c>
      <c r="B412" s="4">
        <v>45612</v>
      </c>
      <c r="C412" s="4" t="str">
        <f>TEXT(Table1[[#This Row],[Order Date]],"mmm")</f>
        <v>Nov</v>
      </c>
      <c r="D412" s="4" t="str">
        <f>TEXT(Table1[[#This Row],[Order Date]],"yyyy")</f>
        <v>2024</v>
      </c>
      <c r="E412" t="s">
        <v>32</v>
      </c>
      <c r="F412" t="s">
        <v>29</v>
      </c>
      <c r="G412" t="s">
        <v>55</v>
      </c>
      <c r="H412" t="s">
        <v>23</v>
      </c>
      <c r="I412">
        <v>1</v>
      </c>
      <c r="J412" s="2">
        <v>10.99</v>
      </c>
      <c r="K412" s="2">
        <v>10.99</v>
      </c>
      <c r="L412">
        <v>4</v>
      </c>
      <c r="M412" t="str">
        <f>IF(Table1[[#This Row],[Customer Rating]]&gt;=3,"Good","Average")</f>
        <v>Good</v>
      </c>
    </row>
    <row r="413" spans="1:13" x14ac:dyDescent="0.25">
      <c r="A413" t="s">
        <v>463</v>
      </c>
      <c r="B413" s="4">
        <v>45716</v>
      </c>
      <c r="C413" s="4" t="str">
        <f>TEXT(Table1[[#This Row],[Order Date]],"mmm")</f>
        <v>Feb</v>
      </c>
      <c r="D413" s="4" t="str">
        <f>TEXT(Table1[[#This Row],[Order Date]],"yyyy")</f>
        <v>2025</v>
      </c>
      <c r="E413" t="s">
        <v>45</v>
      </c>
      <c r="F413" t="s">
        <v>17</v>
      </c>
      <c r="G413" t="s">
        <v>57</v>
      </c>
      <c r="H413" t="s">
        <v>14</v>
      </c>
      <c r="I413">
        <v>2</v>
      </c>
      <c r="J413" s="2">
        <v>15.99</v>
      </c>
      <c r="K413" s="2">
        <v>31.98</v>
      </c>
      <c r="L413">
        <v>4</v>
      </c>
      <c r="M413" t="str">
        <f>IF(Table1[[#This Row],[Customer Rating]]&gt;=3,"Good","Average")</f>
        <v>Good</v>
      </c>
    </row>
    <row r="414" spans="1:13" x14ac:dyDescent="0.25">
      <c r="A414" t="s">
        <v>464</v>
      </c>
      <c r="B414" s="4">
        <v>45488</v>
      </c>
      <c r="C414" s="4" t="str">
        <f>TEXT(Table1[[#This Row],[Order Date]],"mmm")</f>
        <v>Jul</v>
      </c>
      <c r="D414" s="4" t="str">
        <f>TEXT(Table1[[#This Row],[Order Date]],"yyyy")</f>
        <v>2024</v>
      </c>
      <c r="E414" t="s">
        <v>34</v>
      </c>
      <c r="F414" t="s">
        <v>17</v>
      </c>
      <c r="G414" t="s">
        <v>50</v>
      </c>
      <c r="H414" t="s">
        <v>14</v>
      </c>
      <c r="I414">
        <v>1</v>
      </c>
      <c r="J414" s="2">
        <v>22.99</v>
      </c>
      <c r="K414" s="2">
        <v>22.99</v>
      </c>
      <c r="L414">
        <v>2</v>
      </c>
      <c r="M414" t="str">
        <f>IF(Table1[[#This Row],[Customer Rating]]&gt;=3,"Good","Average")</f>
        <v>Average</v>
      </c>
    </row>
    <row r="415" spans="1:13" x14ac:dyDescent="0.25">
      <c r="A415" t="s">
        <v>465</v>
      </c>
      <c r="B415" s="4">
        <v>45776</v>
      </c>
      <c r="C415" s="4" t="str">
        <f>TEXT(Table1[[#This Row],[Order Date]],"mmm")</f>
        <v>Apr</v>
      </c>
      <c r="D415" s="4" t="str">
        <f>TEXT(Table1[[#This Row],[Order Date]],"yyyy")</f>
        <v>2025</v>
      </c>
      <c r="E415" t="s">
        <v>11</v>
      </c>
      <c r="F415" t="s">
        <v>29</v>
      </c>
      <c r="G415" t="s">
        <v>50</v>
      </c>
      <c r="H415" t="s">
        <v>14</v>
      </c>
      <c r="I415">
        <v>1</v>
      </c>
      <c r="J415" s="2">
        <v>22.99</v>
      </c>
      <c r="K415" s="2">
        <v>22.99</v>
      </c>
      <c r="L415">
        <v>4</v>
      </c>
      <c r="M415" t="str">
        <f>IF(Table1[[#This Row],[Customer Rating]]&gt;=3,"Good","Average")</f>
        <v>Good</v>
      </c>
    </row>
    <row r="416" spans="1:13" x14ac:dyDescent="0.25">
      <c r="A416" t="s">
        <v>466</v>
      </c>
      <c r="B416" s="4">
        <v>45877</v>
      </c>
      <c r="C416" s="4" t="str">
        <f>TEXT(Table1[[#This Row],[Order Date]],"mmm")</f>
        <v>Aug</v>
      </c>
      <c r="D416" s="4" t="str">
        <f>TEXT(Table1[[#This Row],[Order Date]],"yyyy")</f>
        <v>2025</v>
      </c>
      <c r="E416" t="s">
        <v>25</v>
      </c>
      <c r="F416" t="s">
        <v>12</v>
      </c>
      <c r="G416" t="s">
        <v>22</v>
      </c>
      <c r="H416" t="s">
        <v>23</v>
      </c>
      <c r="I416">
        <v>1</v>
      </c>
      <c r="J416" s="2">
        <v>8.99</v>
      </c>
      <c r="K416" s="2">
        <v>8.99</v>
      </c>
      <c r="L416">
        <v>5</v>
      </c>
      <c r="M416" t="str">
        <f>IF(Table1[[#This Row],[Customer Rating]]&gt;=3,"Good","Average")</f>
        <v>Good</v>
      </c>
    </row>
    <row r="417" spans="1:13" x14ac:dyDescent="0.25">
      <c r="A417" t="s">
        <v>467</v>
      </c>
      <c r="B417" s="4">
        <v>45589</v>
      </c>
      <c r="C417" s="4" t="str">
        <f>TEXT(Table1[[#This Row],[Order Date]],"mmm")</f>
        <v>Oct</v>
      </c>
      <c r="D417" s="4" t="str">
        <f>TEXT(Table1[[#This Row],[Order Date]],"yyyy")</f>
        <v>2024</v>
      </c>
      <c r="E417" t="s">
        <v>11</v>
      </c>
      <c r="F417" t="s">
        <v>12</v>
      </c>
      <c r="G417" t="s">
        <v>74</v>
      </c>
      <c r="H417" t="s">
        <v>14</v>
      </c>
      <c r="I417">
        <v>4</v>
      </c>
      <c r="J417" s="2">
        <v>14.99</v>
      </c>
      <c r="K417" s="2">
        <v>59.96</v>
      </c>
      <c r="L417">
        <v>5</v>
      </c>
      <c r="M417" t="str">
        <f>IF(Table1[[#This Row],[Customer Rating]]&gt;=3,"Good","Average")</f>
        <v>Good</v>
      </c>
    </row>
    <row r="418" spans="1:13" x14ac:dyDescent="0.25">
      <c r="A418" t="s">
        <v>468</v>
      </c>
      <c r="B418" s="4">
        <v>45499</v>
      </c>
      <c r="C418" s="4" t="str">
        <f>TEXT(Table1[[#This Row],[Order Date]],"mmm")</f>
        <v>Jul</v>
      </c>
      <c r="D418" s="4" t="str">
        <f>TEXT(Table1[[#This Row],[Order Date]],"yyyy")</f>
        <v>2024</v>
      </c>
      <c r="E418" t="s">
        <v>38</v>
      </c>
      <c r="F418" t="s">
        <v>29</v>
      </c>
      <c r="G418" t="s">
        <v>57</v>
      </c>
      <c r="H418" t="s">
        <v>14</v>
      </c>
      <c r="I418">
        <v>2</v>
      </c>
      <c r="J418" s="2">
        <v>15.99</v>
      </c>
      <c r="K418" s="2">
        <v>31.98</v>
      </c>
      <c r="L418">
        <v>5</v>
      </c>
      <c r="M418" t="str">
        <f>IF(Table1[[#This Row],[Customer Rating]]&gt;=3,"Good","Average")</f>
        <v>Good</v>
      </c>
    </row>
    <row r="419" spans="1:13" x14ac:dyDescent="0.25">
      <c r="A419" t="s">
        <v>469</v>
      </c>
      <c r="B419" s="4">
        <v>45824</v>
      </c>
      <c r="C419" s="4" t="str">
        <f>TEXT(Table1[[#This Row],[Order Date]],"mmm")</f>
        <v>Jun</v>
      </c>
      <c r="D419" s="4" t="str">
        <f>TEXT(Table1[[#This Row],[Order Date]],"yyyy")</f>
        <v>2025</v>
      </c>
      <c r="E419" t="s">
        <v>11</v>
      </c>
      <c r="F419" t="s">
        <v>29</v>
      </c>
      <c r="G419" t="s">
        <v>66</v>
      </c>
      <c r="H419" t="s">
        <v>67</v>
      </c>
      <c r="I419">
        <v>1</v>
      </c>
      <c r="J419" s="2">
        <v>7.99</v>
      </c>
      <c r="K419" s="2">
        <v>7.99</v>
      </c>
      <c r="L419">
        <v>4</v>
      </c>
      <c r="M419" t="str">
        <f>IF(Table1[[#This Row],[Customer Rating]]&gt;=3,"Good","Average")</f>
        <v>Good</v>
      </c>
    </row>
    <row r="420" spans="1:13" x14ac:dyDescent="0.25">
      <c r="A420" t="s">
        <v>470</v>
      </c>
      <c r="B420" s="4">
        <v>45532</v>
      </c>
      <c r="C420" s="4" t="str">
        <f>TEXT(Table1[[#This Row],[Order Date]],"mmm")</f>
        <v>Aug</v>
      </c>
      <c r="D420" s="4" t="str">
        <f>TEXT(Table1[[#This Row],[Order Date]],"yyyy")</f>
        <v>2024</v>
      </c>
      <c r="E420" t="s">
        <v>25</v>
      </c>
      <c r="F420" t="s">
        <v>12</v>
      </c>
      <c r="G420" t="s">
        <v>119</v>
      </c>
      <c r="H420" t="s">
        <v>19</v>
      </c>
      <c r="I420">
        <v>1</v>
      </c>
      <c r="J420" s="2">
        <v>4.99</v>
      </c>
      <c r="K420" s="2">
        <v>4.99</v>
      </c>
      <c r="L420">
        <v>1</v>
      </c>
      <c r="M420" t="str">
        <f>IF(Table1[[#This Row],[Customer Rating]]&gt;=3,"Good","Average")</f>
        <v>Average</v>
      </c>
    </row>
    <row r="421" spans="1:13" x14ac:dyDescent="0.25">
      <c r="A421" t="s">
        <v>471</v>
      </c>
      <c r="B421" s="4">
        <v>45611</v>
      </c>
      <c r="C421" s="4" t="str">
        <f>TEXT(Table1[[#This Row],[Order Date]],"mmm")</f>
        <v>Nov</v>
      </c>
      <c r="D421" s="4" t="str">
        <f>TEXT(Table1[[#This Row],[Order Date]],"yyyy")</f>
        <v>2024</v>
      </c>
      <c r="E421" t="s">
        <v>45</v>
      </c>
      <c r="F421" t="s">
        <v>29</v>
      </c>
      <c r="G421" t="s">
        <v>46</v>
      </c>
      <c r="H421" t="s">
        <v>14</v>
      </c>
      <c r="I421">
        <v>1</v>
      </c>
      <c r="J421" s="2">
        <v>32.99</v>
      </c>
      <c r="K421" s="2">
        <v>32.99</v>
      </c>
      <c r="L421">
        <v>4</v>
      </c>
      <c r="M421" t="str">
        <f>IF(Table1[[#This Row],[Customer Rating]]&gt;=3,"Good","Average")</f>
        <v>Good</v>
      </c>
    </row>
    <row r="422" spans="1:13" x14ac:dyDescent="0.25">
      <c r="A422" t="s">
        <v>472</v>
      </c>
      <c r="B422" s="4">
        <v>45612</v>
      </c>
      <c r="C422" s="4" t="str">
        <f>TEXT(Table1[[#This Row],[Order Date]],"mmm")</f>
        <v>Nov</v>
      </c>
      <c r="D422" s="4" t="str">
        <f>TEXT(Table1[[#This Row],[Order Date]],"yyyy")</f>
        <v>2024</v>
      </c>
      <c r="E422" t="s">
        <v>21</v>
      </c>
      <c r="F422" t="s">
        <v>17</v>
      </c>
      <c r="G422" t="s">
        <v>83</v>
      </c>
      <c r="H422" t="s">
        <v>14</v>
      </c>
      <c r="I422">
        <v>2</v>
      </c>
      <c r="J422" s="2">
        <v>17.989999999999998</v>
      </c>
      <c r="K422" s="2">
        <v>35.979999999999997</v>
      </c>
      <c r="L422">
        <v>5</v>
      </c>
      <c r="M422" t="str">
        <f>IF(Table1[[#This Row],[Customer Rating]]&gt;=3,"Good","Average")</f>
        <v>Good</v>
      </c>
    </row>
    <row r="423" spans="1:13" x14ac:dyDescent="0.25">
      <c r="A423" t="s">
        <v>473</v>
      </c>
      <c r="B423" s="4">
        <v>45445</v>
      </c>
      <c r="C423" s="4" t="str">
        <f>TEXT(Table1[[#This Row],[Order Date]],"mmm")</f>
        <v>Jun</v>
      </c>
      <c r="D423" s="4" t="str">
        <f>TEXT(Table1[[#This Row],[Order Date]],"yyyy")</f>
        <v>2024</v>
      </c>
      <c r="E423" t="s">
        <v>97</v>
      </c>
      <c r="F423" t="s">
        <v>17</v>
      </c>
      <c r="G423" t="s">
        <v>112</v>
      </c>
      <c r="H423" t="s">
        <v>19</v>
      </c>
      <c r="I423">
        <v>2</v>
      </c>
      <c r="J423" s="2">
        <v>5.99</v>
      </c>
      <c r="K423" s="2">
        <v>11.98</v>
      </c>
      <c r="L423">
        <v>3</v>
      </c>
      <c r="M423" t="str">
        <f>IF(Table1[[#This Row],[Customer Rating]]&gt;=3,"Good","Average")</f>
        <v>Good</v>
      </c>
    </row>
    <row r="424" spans="1:13" x14ac:dyDescent="0.25">
      <c r="A424" t="s">
        <v>474</v>
      </c>
      <c r="B424" s="4">
        <v>45418</v>
      </c>
      <c r="C424" s="4" t="str">
        <f>TEXT(Table1[[#This Row],[Order Date]],"mmm")</f>
        <v>May</v>
      </c>
      <c r="D424" s="4" t="str">
        <f>TEXT(Table1[[#This Row],[Order Date]],"yyyy")</f>
        <v>2024</v>
      </c>
      <c r="E424" t="s">
        <v>32</v>
      </c>
      <c r="F424" t="s">
        <v>29</v>
      </c>
      <c r="G424" t="s">
        <v>39</v>
      </c>
      <c r="H424" t="s">
        <v>14</v>
      </c>
      <c r="I424">
        <v>3</v>
      </c>
      <c r="J424" s="2">
        <v>24.99</v>
      </c>
      <c r="K424" s="2">
        <v>74.97</v>
      </c>
      <c r="L424">
        <v>5</v>
      </c>
      <c r="M424" t="str">
        <f>IF(Table1[[#This Row],[Customer Rating]]&gt;=3,"Good","Average")</f>
        <v>Good</v>
      </c>
    </row>
    <row r="425" spans="1:13" x14ac:dyDescent="0.25">
      <c r="A425" t="s">
        <v>475</v>
      </c>
      <c r="B425" s="4">
        <v>45568</v>
      </c>
      <c r="C425" s="4" t="str">
        <f>TEXT(Table1[[#This Row],[Order Date]],"mmm")</f>
        <v>Oct</v>
      </c>
      <c r="D425" s="4" t="str">
        <f>TEXT(Table1[[#This Row],[Order Date]],"yyyy")</f>
        <v>2024</v>
      </c>
      <c r="E425" t="s">
        <v>97</v>
      </c>
      <c r="F425" t="s">
        <v>12</v>
      </c>
      <c r="G425" t="s">
        <v>13</v>
      </c>
      <c r="H425" t="s">
        <v>14</v>
      </c>
      <c r="I425">
        <v>1</v>
      </c>
      <c r="J425" s="2">
        <v>18.989999999999998</v>
      </c>
      <c r="K425" s="2">
        <v>18.989999999999998</v>
      </c>
      <c r="L425">
        <v>2</v>
      </c>
      <c r="M425" t="str">
        <f>IF(Table1[[#This Row],[Customer Rating]]&gt;=3,"Good","Average")</f>
        <v>Average</v>
      </c>
    </row>
    <row r="426" spans="1:13" x14ac:dyDescent="0.25">
      <c r="A426" t="s">
        <v>476</v>
      </c>
      <c r="B426" s="4">
        <v>45884</v>
      </c>
      <c r="C426" s="4" t="str">
        <f>TEXT(Table1[[#This Row],[Order Date]],"mmm")</f>
        <v>Aug</v>
      </c>
      <c r="D426" s="4" t="str">
        <f>TEXT(Table1[[#This Row],[Order Date]],"yyyy")</f>
        <v>2025</v>
      </c>
      <c r="E426" t="s">
        <v>11</v>
      </c>
      <c r="F426" t="s">
        <v>29</v>
      </c>
      <c r="G426" t="s">
        <v>30</v>
      </c>
      <c r="H426" t="s">
        <v>19</v>
      </c>
      <c r="I426">
        <v>1</v>
      </c>
      <c r="J426" s="2">
        <v>7.99</v>
      </c>
      <c r="K426" s="2">
        <v>7.99</v>
      </c>
      <c r="L426">
        <v>1</v>
      </c>
      <c r="M426" t="str">
        <f>IF(Table1[[#This Row],[Customer Rating]]&gt;=3,"Good","Average")</f>
        <v>Average</v>
      </c>
    </row>
    <row r="427" spans="1:13" x14ac:dyDescent="0.25">
      <c r="A427" t="s">
        <v>477</v>
      </c>
      <c r="B427" s="4">
        <v>45823</v>
      </c>
      <c r="C427" s="4" t="str">
        <f>TEXT(Table1[[#This Row],[Order Date]],"mmm")</f>
        <v>Jun</v>
      </c>
      <c r="D427" s="4" t="str">
        <f>TEXT(Table1[[#This Row],[Order Date]],"yyyy")</f>
        <v>2025</v>
      </c>
      <c r="E427" t="s">
        <v>97</v>
      </c>
      <c r="F427" t="s">
        <v>12</v>
      </c>
      <c r="G427" t="s">
        <v>176</v>
      </c>
      <c r="H427" t="s">
        <v>67</v>
      </c>
      <c r="I427">
        <v>3</v>
      </c>
      <c r="J427" s="2">
        <v>11.99</v>
      </c>
      <c r="K427" s="2">
        <v>35.97</v>
      </c>
      <c r="L427">
        <v>4</v>
      </c>
      <c r="M427" t="str">
        <f>IF(Table1[[#This Row],[Customer Rating]]&gt;=3,"Good","Average")</f>
        <v>Good</v>
      </c>
    </row>
    <row r="428" spans="1:13" x14ac:dyDescent="0.25">
      <c r="A428" t="s">
        <v>478</v>
      </c>
      <c r="B428" s="4">
        <v>45886</v>
      </c>
      <c r="C428" s="4" t="str">
        <f>TEXT(Table1[[#This Row],[Order Date]],"mmm")</f>
        <v>Aug</v>
      </c>
      <c r="D428" s="4" t="str">
        <f>TEXT(Table1[[#This Row],[Order Date]],"yyyy")</f>
        <v>2025</v>
      </c>
      <c r="E428" t="s">
        <v>97</v>
      </c>
      <c r="F428" t="s">
        <v>17</v>
      </c>
      <c r="G428" t="s">
        <v>13</v>
      </c>
      <c r="H428" t="s">
        <v>14</v>
      </c>
      <c r="I428">
        <v>2</v>
      </c>
      <c r="J428" s="2">
        <v>18.989999999999998</v>
      </c>
      <c r="K428" s="2">
        <v>37.979999999999997</v>
      </c>
      <c r="L428">
        <v>4</v>
      </c>
      <c r="M428" t="str">
        <f>IF(Table1[[#This Row],[Customer Rating]]&gt;=3,"Good","Average")</f>
        <v>Good</v>
      </c>
    </row>
    <row r="429" spans="1:13" x14ac:dyDescent="0.25">
      <c r="A429" t="s">
        <v>479</v>
      </c>
      <c r="B429" s="4">
        <v>45363</v>
      </c>
      <c r="C429" s="4" t="str">
        <f>TEXT(Table1[[#This Row],[Order Date]],"mmm")</f>
        <v>Mar</v>
      </c>
      <c r="D429" s="4" t="str">
        <f>TEXT(Table1[[#This Row],[Order Date]],"yyyy")</f>
        <v>2024</v>
      </c>
      <c r="E429" t="s">
        <v>25</v>
      </c>
      <c r="F429" t="s">
        <v>29</v>
      </c>
      <c r="G429" t="s">
        <v>74</v>
      </c>
      <c r="H429" t="s">
        <v>14</v>
      </c>
      <c r="I429">
        <v>1</v>
      </c>
      <c r="J429" s="2">
        <v>14.99</v>
      </c>
      <c r="K429" s="2">
        <v>14.99</v>
      </c>
      <c r="L429">
        <v>5</v>
      </c>
      <c r="M429" t="str">
        <f>IF(Table1[[#This Row],[Customer Rating]]&gt;=3,"Good","Average")</f>
        <v>Good</v>
      </c>
    </row>
    <row r="430" spans="1:13" x14ac:dyDescent="0.25">
      <c r="A430" t="s">
        <v>480</v>
      </c>
      <c r="B430" s="4">
        <v>45906</v>
      </c>
      <c r="C430" s="4" t="str">
        <f>TEXT(Table1[[#This Row],[Order Date]],"mmm")</f>
        <v>Sep</v>
      </c>
      <c r="D430" s="4" t="str">
        <f>TEXT(Table1[[#This Row],[Order Date]],"yyyy")</f>
        <v>2025</v>
      </c>
      <c r="E430" t="s">
        <v>28</v>
      </c>
      <c r="F430" t="s">
        <v>17</v>
      </c>
      <c r="G430" t="s">
        <v>26</v>
      </c>
      <c r="H430" t="s">
        <v>19</v>
      </c>
      <c r="I430">
        <v>2</v>
      </c>
      <c r="J430" s="2">
        <v>3.49</v>
      </c>
      <c r="K430" s="2">
        <v>6.98</v>
      </c>
      <c r="L430">
        <v>4</v>
      </c>
      <c r="M430" t="str">
        <f>IF(Table1[[#This Row],[Customer Rating]]&gt;=3,"Good","Average")</f>
        <v>Good</v>
      </c>
    </row>
    <row r="431" spans="1:13" x14ac:dyDescent="0.25">
      <c r="A431" t="s">
        <v>481</v>
      </c>
      <c r="B431" s="4">
        <v>45836</v>
      </c>
      <c r="C431" s="4" t="str">
        <f>TEXT(Table1[[#This Row],[Order Date]],"mmm")</f>
        <v>Jun</v>
      </c>
      <c r="D431" s="4" t="str">
        <f>TEXT(Table1[[#This Row],[Order Date]],"yyyy")</f>
        <v>2025</v>
      </c>
      <c r="E431" t="s">
        <v>28</v>
      </c>
      <c r="F431" t="s">
        <v>12</v>
      </c>
      <c r="G431" t="s">
        <v>83</v>
      </c>
      <c r="H431" t="s">
        <v>14</v>
      </c>
      <c r="I431">
        <v>3</v>
      </c>
      <c r="J431" s="2">
        <v>17.989999999999998</v>
      </c>
      <c r="K431" s="2">
        <v>53.97</v>
      </c>
      <c r="L431">
        <v>5</v>
      </c>
      <c r="M431" t="str">
        <f>IF(Table1[[#This Row],[Customer Rating]]&gt;=3,"Good","Average")</f>
        <v>Good</v>
      </c>
    </row>
    <row r="432" spans="1:13" x14ac:dyDescent="0.25">
      <c r="A432" t="s">
        <v>482</v>
      </c>
      <c r="B432" s="4">
        <v>45591</v>
      </c>
      <c r="C432" s="4" t="str">
        <f>TEXT(Table1[[#This Row],[Order Date]],"mmm")</f>
        <v>Oct</v>
      </c>
      <c r="D432" s="4" t="str">
        <f>TEXT(Table1[[#This Row],[Order Date]],"yyyy")</f>
        <v>2024</v>
      </c>
      <c r="E432" t="s">
        <v>11</v>
      </c>
      <c r="F432" t="s">
        <v>29</v>
      </c>
      <c r="G432" t="s">
        <v>52</v>
      </c>
      <c r="H432" t="s">
        <v>19</v>
      </c>
      <c r="I432">
        <v>1</v>
      </c>
      <c r="J432" s="2">
        <v>6.99</v>
      </c>
      <c r="K432" s="2">
        <v>6.99</v>
      </c>
      <c r="L432">
        <v>3</v>
      </c>
      <c r="M432" t="str">
        <f>IF(Table1[[#This Row],[Customer Rating]]&gt;=3,"Good","Average")</f>
        <v>Good</v>
      </c>
    </row>
    <row r="433" spans="1:13" x14ac:dyDescent="0.25">
      <c r="A433" t="s">
        <v>483</v>
      </c>
      <c r="B433" s="4">
        <v>45969</v>
      </c>
      <c r="C433" s="4" t="str">
        <f>TEXT(Table1[[#This Row],[Order Date]],"mmm")</f>
        <v>Nov</v>
      </c>
      <c r="D433" s="4" t="str">
        <f>TEXT(Table1[[#This Row],[Order Date]],"yyyy")</f>
        <v>2025</v>
      </c>
      <c r="E433" t="s">
        <v>45</v>
      </c>
      <c r="F433" t="s">
        <v>29</v>
      </c>
      <c r="G433" t="s">
        <v>74</v>
      </c>
      <c r="H433" t="s">
        <v>14</v>
      </c>
      <c r="I433">
        <v>1</v>
      </c>
      <c r="J433" s="2">
        <v>14.99</v>
      </c>
      <c r="K433" s="2">
        <v>14.99</v>
      </c>
      <c r="L433">
        <v>4</v>
      </c>
      <c r="M433" t="str">
        <f>IF(Table1[[#This Row],[Customer Rating]]&gt;=3,"Good","Average")</f>
        <v>Good</v>
      </c>
    </row>
    <row r="434" spans="1:13" x14ac:dyDescent="0.25">
      <c r="A434" t="s">
        <v>484</v>
      </c>
      <c r="B434" s="4">
        <v>45789</v>
      </c>
      <c r="C434" s="4" t="str">
        <f>TEXT(Table1[[#This Row],[Order Date]],"mmm")</f>
        <v>May</v>
      </c>
      <c r="D434" s="4" t="str">
        <f>TEXT(Table1[[#This Row],[Order Date]],"yyyy")</f>
        <v>2025</v>
      </c>
      <c r="E434" t="s">
        <v>21</v>
      </c>
      <c r="F434" t="s">
        <v>17</v>
      </c>
      <c r="G434" t="s">
        <v>18</v>
      </c>
      <c r="H434" t="s">
        <v>19</v>
      </c>
      <c r="I434">
        <v>1</v>
      </c>
      <c r="J434" s="2">
        <v>9.99</v>
      </c>
      <c r="K434" s="2">
        <v>9.99</v>
      </c>
      <c r="L434">
        <v>5</v>
      </c>
      <c r="M434" t="str">
        <f>IF(Table1[[#This Row],[Customer Rating]]&gt;=3,"Good","Average")</f>
        <v>Good</v>
      </c>
    </row>
    <row r="435" spans="1:13" x14ac:dyDescent="0.25">
      <c r="A435" t="s">
        <v>485</v>
      </c>
      <c r="B435" s="4">
        <v>45319</v>
      </c>
      <c r="C435" s="4" t="str">
        <f>TEXT(Table1[[#This Row],[Order Date]],"mmm")</f>
        <v>Jan</v>
      </c>
      <c r="D435" s="4" t="str">
        <f>TEXT(Table1[[#This Row],[Order Date]],"yyyy")</f>
        <v>2024</v>
      </c>
      <c r="E435" t="s">
        <v>34</v>
      </c>
      <c r="F435" t="s">
        <v>17</v>
      </c>
      <c r="G435" t="s">
        <v>79</v>
      </c>
      <c r="H435" t="s">
        <v>67</v>
      </c>
      <c r="I435">
        <v>1</v>
      </c>
      <c r="J435" s="2">
        <v>10.99</v>
      </c>
      <c r="K435" s="2">
        <v>10.99</v>
      </c>
      <c r="L435">
        <v>3</v>
      </c>
      <c r="M435" t="str">
        <f>IF(Table1[[#This Row],[Customer Rating]]&gt;=3,"Good","Average")</f>
        <v>Good</v>
      </c>
    </row>
    <row r="436" spans="1:13" x14ac:dyDescent="0.25">
      <c r="A436" t="s">
        <v>486</v>
      </c>
      <c r="B436" s="4">
        <v>45801</v>
      </c>
      <c r="C436" s="4" t="str">
        <f>TEXT(Table1[[#This Row],[Order Date]],"mmm")</f>
        <v>May</v>
      </c>
      <c r="D436" s="4" t="str">
        <f>TEXT(Table1[[#This Row],[Order Date]],"yyyy")</f>
        <v>2025</v>
      </c>
      <c r="E436" t="s">
        <v>97</v>
      </c>
      <c r="F436" t="s">
        <v>29</v>
      </c>
      <c r="G436" t="s">
        <v>50</v>
      </c>
      <c r="H436" t="s">
        <v>14</v>
      </c>
      <c r="I436">
        <v>1</v>
      </c>
      <c r="J436" s="2">
        <v>22.99</v>
      </c>
      <c r="K436" s="2">
        <v>22.99</v>
      </c>
      <c r="L436">
        <v>4</v>
      </c>
      <c r="M436" t="str">
        <f>IF(Table1[[#This Row],[Customer Rating]]&gt;=3,"Good","Average")</f>
        <v>Good</v>
      </c>
    </row>
    <row r="437" spans="1:13" x14ac:dyDescent="0.25">
      <c r="A437" t="s">
        <v>487</v>
      </c>
      <c r="B437" s="4">
        <v>45585</v>
      </c>
      <c r="C437" s="4" t="str">
        <f>TEXT(Table1[[#This Row],[Order Date]],"mmm")</f>
        <v>Oct</v>
      </c>
      <c r="D437" s="4" t="str">
        <f>TEXT(Table1[[#This Row],[Order Date]],"yyyy")</f>
        <v>2024</v>
      </c>
      <c r="E437" t="s">
        <v>28</v>
      </c>
      <c r="F437" t="s">
        <v>29</v>
      </c>
      <c r="G437" t="s">
        <v>46</v>
      </c>
      <c r="H437" t="s">
        <v>14</v>
      </c>
      <c r="I437">
        <v>1</v>
      </c>
      <c r="J437" s="2">
        <v>32.99</v>
      </c>
      <c r="K437" s="2">
        <v>32.99</v>
      </c>
      <c r="L437">
        <v>4</v>
      </c>
      <c r="M437" t="str">
        <f>IF(Table1[[#This Row],[Customer Rating]]&gt;=3,"Good","Average")</f>
        <v>Good</v>
      </c>
    </row>
    <row r="438" spans="1:13" x14ac:dyDescent="0.25">
      <c r="A438" t="s">
        <v>488</v>
      </c>
      <c r="B438" s="4">
        <v>45666</v>
      </c>
      <c r="C438" s="4" t="str">
        <f>TEXT(Table1[[#This Row],[Order Date]],"mmm")</f>
        <v>Jan</v>
      </c>
      <c r="D438" s="4" t="str">
        <f>TEXT(Table1[[#This Row],[Order Date]],"yyyy")</f>
        <v>2025</v>
      </c>
      <c r="E438" t="s">
        <v>11</v>
      </c>
      <c r="F438" t="s">
        <v>29</v>
      </c>
      <c r="G438" t="s">
        <v>46</v>
      </c>
      <c r="H438" t="s">
        <v>14</v>
      </c>
      <c r="I438">
        <v>4</v>
      </c>
      <c r="J438" s="2">
        <v>32.99</v>
      </c>
      <c r="K438" s="2">
        <v>131.96</v>
      </c>
      <c r="L438">
        <v>3</v>
      </c>
      <c r="M438" t="str">
        <f>IF(Table1[[#This Row],[Customer Rating]]&gt;=3,"Good","Average")</f>
        <v>Good</v>
      </c>
    </row>
    <row r="439" spans="1:13" x14ac:dyDescent="0.25">
      <c r="A439" t="s">
        <v>489</v>
      </c>
      <c r="B439" s="4">
        <v>45934</v>
      </c>
      <c r="C439" s="4" t="str">
        <f>TEXT(Table1[[#This Row],[Order Date]],"mmm")</f>
        <v>Oct</v>
      </c>
      <c r="D439" s="4" t="str">
        <f>TEXT(Table1[[#This Row],[Order Date]],"yyyy")</f>
        <v>2025</v>
      </c>
      <c r="E439" t="s">
        <v>97</v>
      </c>
      <c r="F439" t="s">
        <v>29</v>
      </c>
      <c r="G439" t="s">
        <v>13</v>
      </c>
      <c r="H439" t="s">
        <v>14</v>
      </c>
      <c r="I439">
        <v>1</v>
      </c>
      <c r="J439" s="2">
        <v>18.989999999999998</v>
      </c>
      <c r="K439" s="2">
        <v>18.989999999999998</v>
      </c>
      <c r="L439">
        <v>3</v>
      </c>
      <c r="M439" t="str">
        <f>IF(Table1[[#This Row],[Customer Rating]]&gt;=3,"Good","Average")</f>
        <v>Good</v>
      </c>
    </row>
    <row r="440" spans="1:13" x14ac:dyDescent="0.25">
      <c r="A440" t="s">
        <v>490</v>
      </c>
      <c r="B440" s="4">
        <v>45903</v>
      </c>
      <c r="C440" s="4" t="str">
        <f>TEXT(Table1[[#This Row],[Order Date]],"mmm")</f>
        <v>Sep</v>
      </c>
      <c r="D440" s="4" t="str">
        <f>TEXT(Table1[[#This Row],[Order Date]],"yyyy")</f>
        <v>2025</v>
      </c>
      <c r="E440" t="s">
        <v>34</v>
      </c>
      <c r="F440" t="s">
        <v>29</v>
      </c>
      <c r="G440" t="s">
        <v>36</v>
      </c>
      <c r="H440" t="s">
        <v>14</v>
      </c>
      <c r="I440">
        <v>2</v>
      </c>
      <c r="J440" s="2">
        <v>16.989999999999998</v>
      </c>
      <c r="K440" s="2">
        <v>33.979999999999997</v>
      </c>
      <c r="L440">
        <v>5</v>
      </c>
      <c r="M440" t="str">
        <f>IF(Table1[[#This Row],[Customer Rating]]&gt;=3,"Good","Average")</f>
        <v>Good</v>
      </c>
    </row>
    <row r="441" spans="1:13" x14ac:dyDescent="0.25">
      <c r="A441" t="s">
        <v>491</v>
      </c>
      <c r="B441" s="4">
        <v>45533</v>
      </c>
      <c r="C441" s="4" t="str">
        <f>TEXT(Table1[[#This Row],[Order Date]],"mmm")</f>
        <v>Aug</v>
      </c>
      <c r="D441" s="4" t="str">
        <f>TEXT(Table1[[#This Row],[Order Date]],"yyyy")</f>
        <v>2024</v>
      </c>
      <c r="E441" t="s">
        <v>38</v>
      </c>
      <c r="F441" t="s">
        <v>12</v>
      </c>
      <c r="G441" t="s">
        <v>221</v>
      </c>
      <c r="H441" t="s">
        <v>67</v>
      </c>
      <c r="I441">
        <v>1</v>
      </c>
      <c r="J441" s="2">
        <v>9.99</v>
      </c>
      <c r="K441" s="2">
        <v>9.99</v>
      </c>
      <c r="L441">
        <v>4</v>
      </c>
      <c r="M441" t="str">
        <f>IF(Table1[[#This Row],[Customer Rating]]&gt;=3,"Good","Average")</f>
        <v>Good</v>
      </c>
    </row>
    <row r="442" spans="1:13" x14ac:dyDescent="0.25">
      <c r="A442" t="s">
        <v>492</v>
      </c>
      <c r="B442" s="4">
        <v>45590</v>
      </c>
      <c r="C442" s="4" t="str">
        <f>TEXT(Table1[[#This Row],[Order Date]],"mmm")</f>
        <v>Oct</v>
      </c>
      <c r="D442" s="4" t="str">
        <f>TEXT(Table1[[#This Row],[Order Date]],"yyyy")</f>
        <v>2024</v>
      </c>
      <c r="E442" t="s">
        <v>21</v>
      </c>
      <c r="F442" t="s">
        <v>29</v>
      </c>
      <c r="G442" t="s">
        <v>119</v>
      </c>
      <c r="H442" t="s">
        <v>19</v>
      </c>
      <c r="I442">
        <v>1</v>
      </c>
      <c r="J442" s="2">
        <v>4.99</v>
      </c>
      <c r="K442" s="2">
        <v>4.99</v>
      </c>
      <c r="L442">
        <v>2</v>
      </c>
      <c r="M442" t="str">
        <f>IF(Table1[[#This Row],[Customer Rating]]&gt;=3,"Good","Average")</f>
        <v>Average</v>
      </c>
    </row>
    <row r="443" spans="1:13" x14ac:dyDescent="0.25">
      <c r="A443" t="s">
        <v>493</v>
      </c>
      <c r="B443" s="4">
        <v>45974</v>
      </c>
      <c r="C443" s="4" t="str">
        <f>TEXT(Table1[[#This Row],[Order Date]],"mmm")</f>
        <v>Nov</v>
      </c>
      <c r="D443" s="4" t="str">
        <f>TEXT(Table1[[#This Row],[Order Date]],"yyyy")</f>
        <v>2025</v>
      </c>
      <c r="E443" t="s">
        <v>38</v>
      </c>
      <c r="F443" t="s">
        <v>12</v>
      </c>
      <c r="G443" t="s">
        <v>46</v>
      </c>
      <c r="H443" t="s">
        <v>14</v>
      </c>
      <c r="I443">
        <v>2</v>
      </c>
      <c r="J443" s="2">
        <v>32.99</v>
      </c>
      <c r="K443" s="2">
        <v>65.98</v>
      </c>
      <c r="L443">
        <v>3</v>
      </c>
      <c r="M443" t="str">
        <f>IF(Table1[[#This Row],[Customer Rating]]&gt;=3,"Good","Average")</f>
        <v>Good</v>
      </c>
    </row>
    <row r="444" spans="1:13" x14ac:dyDescent="0.25">
      <c r="A444" t="s">
        <v>494</v>
      </c>
      <c r="B444" s="4">
        <v>45394</v>
      </c>
      <c r="C444" s="4" t="str">
        <f>TEXT(Table1[[#This Row],[Order Date]],"mmm")</f>
        <v>Apr</v>
      </c>
      <c r="D444" s="4" t="str">
        <f>TEXT(Table1[[#This Row],[Order Date]],"yyyy")</f>
        <v>2024</v>
      </c>
      <c r="E444" t="s">
        <v>16</v>
      </c>
      <c r="F444" t="s">
        <v>29</v>
      </c>
      <c r="G444" t="s">
        <v>39</v>
      </c>
      <c r="H444" t="s">
        <v>14</v>
      </c>
      <c r="I444">
        <v>1</v>
      </c>
      <c r="J444" s="2">
        <v>24.99</v>
      </c>
      <c r="K444" s="2">
        <v>24.99</v>
      </c>
      <c r="L444">
        <v>5</v>
      </c>
      <c r="M444" t="str">
        <f>IF(Table1[[#This Row],[Customer Rating]]&gt;=3,"Good","Average")</f>
        <v>Good</v>
      </c>
    </row>
    <row r="445" spans="1:13" x14ac:dyDescent="0.25">
      <c r="A445" t="s">
        <v>495</v>
      </c>
      <c r="B445" s="4">
        <v>45331</v>
      </c>
      <c r="C445" s="4" t="str">
        <f>TEXT(Table1[[#This Row],[Order Date]],"mmm")</f>
        <v>Feb</v>
      </c>
      <c r="D445" s="4" t="str">
        <f>TEXT(Table1[[#This Row],[Order Date]],"yyyy")</f>
        <v>2024</v>
      </c>
      <c r="E445" t="s">
        <v>97</v>
      </c>
      <c r="F445" t="s">
        <v>29</v>
      </c>
      <c r="G445" t="s">
        <v>69</v>
      </c>
      <c r="H445" t="s">
        <v>67</v>
      </c>
      <c r="I445">
        <v>2</v>
      </c>
      <c r="J445" s="2">
        <v>8.99</v>
      </c>
      <c r="K445" s="2">
        <v>17.98</v>
      </c>
      <c r="L445">
        <v>5</v>
      </c>
      <c r="M445" t="str">
        <f>IF(Table1[[#This Row],[Customer Rating]]&gt;=3,"Good","Average")</f>
        <v>Good</v>
      </c>
    </row>
    <row r="446" spans="1:13" x14ac:dyDescent="0.25">
      <c r="A446" t="s">
        <v>496</v>
      </c>
      <c r="B446" s="4">
        <v>45387</v>
      </c>
      <c r="C446" s="4" t="str">
        <f>TEXT(Table1[[#This Row],[Order Date]],"mmm")</f>
        <v>Apr</v>
      </c>
      <c r="D446" s="4" t="str">
        <f>TEXT(Table1[[#This Row],[Order Date]],"yyyy")</f>
        <v>2024</v>
      </c>
      <c r="E446" t="s">
        <v>38</v>
      </c>
      <c r="F446" t="s">
        <v>29</v>
      </c>
      <c r="G446" t="s">
        <v>50</v>
      </c>
      <c r="H446" t="s">
        <v>14</v>
      </c>
      <c r="I446">
        <v>1</v>
      </c>
      <c r="J446" s="2">
        <v>22.99</v>
      </c>
      <c r="K446" s="2">
        <v>22.99</v>
      </c>
      <c r="L446">
        <v>3</v>
      </c>
      <c r="M446" t="str">
        <f>IF(Table1[[#This Row],[Customer Rating]]&gt;=3,"Good","Average")</f>
        <v>Good</v>
      </c>
    </row>
    <row r="447" spans="1:13" x14ac:dyDescent="0.25">
      <c r="A447" t="s">
        <v>497</v>
      </c>
      <c r="B447" s="4">
        <v>45359</v>
      </c>
      <c r="C447" s="4" t="str">
        <f>TEXT(Table1[[#This Row],[Order Date]],"mmm")</f>
        <v>Mar</v>
      </c>
      <c r="D447" s="4" t="str">
        <f>TEXT(Table1[[#This Row],[Order Date]],"yyyy")</f>
        <v>2024</v>
      </c>
      <c r="E447" t="s">
        <v>38</v>
      </c>
      <c r="F447" t="s">
        <v>17</v>
      </c>
      <c r="G447" t="s">
        <v>13</v>
      </c>
      <c r="H447" t="s">
        <v>14</v>
      </c>
      <c r="I447">
        <v>3</v>
      </c>
      <c r="J447" s="2">
        <v>18.989999999999998</v>
      </c>
      <c r="K447" s="2">
        <v>56.97</v>
      </c>
      <c r="L447">
        <v>5</v>
      </c>
      <c r="M447" t="str">
        <f>IF(Table1[[#This Row],[Customer Rating]]&gt;=3,"Good","Average")</f>
        <v>Good</v>
      </c>
    </row>
    <row r="448" spans="1:13" x14ac:dyDescent="0.25">
      <c r="A448" t="s">
        <v>498</v>
      </c>
      <c r="B448" s="4">
        <v>45398</v>
      </c>
      <c r="C448" s="4" t="str">
        <f>TEXT(Table1[[#This Row],[Order Date]],"mmm")</f>
        <v>Apr</v>
      </c>
      <c r="D448" s="4" t="str">
        <f>TEXT(Table1[[#This Row],[Order Date]],"yyyy")</f>
        <v>2024</v>
      </c>
      <c r="E448" t="s">
        <v>32</v>
      </c>
      <c r="F448" t="s">
        <v>29</v>
      </c>
      <c r="G448" t="s">
        <v>36</v>
      </c>
      <c r="H448" t="s">
        <v>14</v>
      </c>
      <c r="I448">
        <v>2</v>
      </c>
      <c r="J448" s="2">
        <v>16.989999999999998</v>
      </c>
      <c r="K448" s="2">
        <v>33.979999999999997</v>
      </c>
      <c r="L448">
        <v>5</v>
      </c>
      <c r="M448" t="str">
        <f>IF(Table1[[#This Row],[Customer Rating]]&gt;=3,"Good","Average")</f>
        <v>Good</v>
      </c>
    </row>
    <row r="449" spans="1:13" x14ac:dyDescent="0.25">
      <c r="A449" t="s">
        <v>499</v>
      </c>
      <c r="B449" s="4">
        <v>45682</v>
      </c>
      <c r="C449" s="4" t="str">
        <f>TEXT(Table1[[#This Row],[Order Date]],"mmm")</f>
        <v>Jan</v>
      </c>
      <c r="D449" s="4" t="str">
        <f>TEXT(Table1[[#This Row],[Order Date]],"yyyy")</f>
        <v>2025</v>
      </c>
      <c r="E449" t="s">
        <v>11</v>
      </c>
      <c r="F449" t="s">
        <v>29</v>
      </c>
      <c r="G449" t="s">
        <v>74</v>
      </c>
      <c r="H449" t="s">
        <v>14</v>
      </c>
      <c r="I449">
        <v>1</v>
      </c>
      <c r="J449" s="2">
        <v>14.99</v>
      </c>
      <c r="K449" s="2">
        <v>14.99</v>
      </c>
      <c r="L449">
        <v>2</v>
      </c>
      <c r="M449" t="str">
        <f>IF(Table1[[#This Row],[Customer Rating]]&gt;=3,"Good","Average")</f>
        <v>Average</v>
      </c>
    </row>
    <row r="450" spans="1:13" x14ac:dyDescent="0.25">
      <c r="A450" t="s">
        <v>500</v>
      </c>
      <c r="B450" s="4">
        <v>45789</v>
      </c>
      <c r="C450" s="4" t="str">
        <f>TEXT(Table1[[#This Row],[Order Date]],"mmm")</f>
        <v>May</v>
      </c>
      <c r="D450" s="4" t="str">
        <f>TEXT(Table1[[#This Row],[Order Date]],"yyyy")</f>
        <v>2025</v>
      </c>
      <c r="E450" t="s">
        <v>11</v>
      </c>
      <c r="F450" t="s">
        <v>29</v>
      </c>
      <c r="G450" t="s">
        <v>46</v>
      </c>
      <c r="H450" t="s">
        <v>14</v>
      </c>
      <c r="I450">
        <v>2</v>
      </c>
      <c r="J450" s="2">
        <v>32.99</v>
      </c>
      <c r="K450" s="2">
        <v>65.98</v>
      </c>
      <c r="L450">
        <v>5</v>
      </c>
      <c r="M450" t="str">
        <f>IF(Table1[[#This Row],[Customer Rating]]&gt;=3,"Good","Average")</f>
        <v>Good</v>
      </c>
    </row>
    <row r="451" spans="1:13" x14ac:dyDescent="0.25">
      <c r="A451" t="s">
        <v>501</v>
      </c>
      <c r="B451" s="4">
        <v>45891</v>
      </c>
      <c r="C451" s="4" t="str">
        <f>TEXT(Table1[[#This Row],[Order Date]],"mmm")</f>
        <v>Aug</v>
      </c>
      <c r="D451" s="4" t="str">
        <f>TEXT(Table1[[#This Row],[Order Date]],"yyyy")</f>
        <v>2025</v>
      </c>
      <c r="E451" t="s">
        <v>97</v>
      </c>
      <c r="F451" t="s">
        <v>29</v>
      </c>
      <c r="G451" t="s">
        <v>50</v>
      </c>
      <c r="H451" t="s">
        <v>14</v>
      </c>
      <c r="I451">
        <v>4</v>
      </c>
      <c r="J451" s="2">
        <v>22.99</v>
      </c>
      <c r="K451" s="2">
        <v>91.96</v>
      </c>
      <c r="L451">
        <v>4</v>
      </c>
      <c r="M451" t="str">
        <f>IF(Table1[[#This Row],[Customer Rating]]&gt;=3,"Good","Average")</f>
        <v>Good</v>
      </c>
    </row>
    <row r="452" spans="1:13" x14ac:dyDescent="0.25">
      <c r="A452" t="s">
        <v>502</v>
      </c>
      <c r="B452" s="4">
        <v>45718</v>
      </c>
      <c r="C452" s="4" t="str">
        <f>TEXT(Table1[[#This Row],[Order Date]],"mmm")</f>
        <v>Mar</v>
      </c>
      <c r="D452" s="4" t="str">
        <f>TEXT(Table1[[#This Row],[Order Date]],"yyyy")</f>
        <v>2025</v>
      </c>
      <c r="E452" t="s">
        <v>11</v>
      </c>
      <c r="F452" t="s">
        <v>29</v>
      </c>
      <c r="G452" t="s">
        <v>83</v>
      </c>
      <c r="H452" t="s">
        <v>14</v>
      </c>
      <c r="I452">
        <v>2</v>
      </c>
      <c r="J452" s="2">
        <v>17.989999999999998</v>
      </c>
      <c r="K452" s="2">
        <v>35.979999999999997</v>
      </c>
      <c r="L452">
        <v>1</v>
      </c>
      <c r="M452" t="str">
        <f>IF(Table1[[#This Row],[Customer Rating]]&gt;=3,"Good","Average")</f>
        <v>Average</v>
      </c>
    </row>
    <row r="453" spans="1:13" x14ac:dyDescent="0.25">
      <c r="A453" t="s">
        <v>503</v>
      </c>
      <c r="B453" s="4">
        <v>45432</v>
      </c>
      <c r="C453" s="4" t="str">
        <f>TEXT(Table1[[#This Row],[Order Date]],"mmm")</f>
        <v>May</v>
      </c>
      <c r="D453" s="4" t="str">
        <f>TEXT(Table1[[#This Row],[Order Date]],"yyyy")</f>
        <v>2024</v>
      </c>
      <c r="E453" t="s">
        <v>11</v>
      </c>
      <c r="F453" t="s">
        <v>12</v>
      </c>
      <c r="G453" t="s">
        <v>176</v>
      </c>
      <c r="H453" t="s">
        <v>67</v>
      </c>
      <c r="I453">
        <v>1</v>
      </c>
      <c r="J453" s="2">
        <v>11.99</v>
      </c>
      <c r="K453" s="2">
        <v>11.99</v>
      </c>
      <c r="L453">
        <v>5</v>
      </c>
      <c r="M453" t="str">
        <f>IF(Table1[[#This Row],[Customer Rating]]&gt;=3,"Good","Average")</f>
        <v>Good</v>
      </c>
    </row>
    <row r="454" spans="1:13" x14ac:dyDescent="0.25">
      <c r="A454" t="s">
        <v>504</v>
      </c>
      <c r="B454" s="4">
        <v>45367</v>
      </c>
      <c r="C454" s="4" t="str">
        <f>TEXT(Table1[[#This Row],[Order Date]],"mmm")</f>
        <v>Mar</v>
      </c>
      <c r="D454" s="4" t="str">
        <f>TEXT(Table1[[#This Row],[Order Date]],"yyyy")</f>
        <v>2024</v>
      </c>
      <c r="E454" t="s">
        <v>97</v>
      </c>
      <c r="F454" t="s">
        <v>12</v>
      </c>
      <c r="G454" t="s">
        <v>39</v>
      </c>
      <c r="H454" t="s">
        <v>14</v>
      </c>
      <c r="I454">
        <v>1</v>
      </c>
      <c r="J454" s="2">
        <v>24.99</v>
      </c>
      <c r="K454" s="2">
        <v>24.99</v>
      </c>
      <c r="L454">
        <v>1</v>
      </c>
      <c r="M454" t="str">
        <f>IF(Table1[[#This Row],[Customer Rating]]&gt;=3,"Good","Average")</f>
        <v>Average</v>
      </c>
    </row>
    <row r="455" spans="1:13" x14ac:dyDescent="0.25">
      <c r="A455" t="s">
        <v>505</v>
      </c>
      <c r="B455" s="4">
        <v>45328</v>
      </c>
      <c r="C455" s="4" t="str">
        <f>TEXT(Table1[[#This Row],[Order Date]],"mmm")</f>
        <v>Feb</v>
      </c>
      <c r="D455" s="4" t="str">
        <f>TEXT(Table1[[#This Row],[Order Date]],"yyyy")</f>
        <v>2024</v>
      </c>
      <c r="E455" t="s">
        <v>21</v>
      </c>
      <c r="F455" t="s">
        <v>29</v>
      </c>
      <c r="G455" t="s">
        <v>36</v>
      </c>
      <c r="H455" t="s">
        <v>14</v>
      </c>
      <c r="I455">
        <v>2</v>
      </c>
      <c r="J455" s="2">
        <v>16.989999999999998</v>
      </c>
      <c r="K455" s="2">
        <v>33.979999999999997</v>
      </c>
      <c r="L455">
        <v>2</v>
      </c>
      <c r="M455" t="str">
        <f>IF(Table1[[#This Row],[Customer Rating]]&gt;=3,"Good","Average")</f>
        <v>Average</v>
      </c>
    </row>
    <row r="456" spans="1:13" x14ac:dyDescent="0.25">
      <c r="A456" t="s">
        <v>506</v>
      </c>
      <c r="B456" s="4">
        <v>45305</v>
      </c>
      <c r="C456" s="4" t="str">
        <f>TEXT(Table1[[#This Row],[Order Date]],"mmm")</f>
        <v>Jan</v>
      </c>
      <c r="D456" s="4" t="str">
        <f>TEXT(Table1[[#This Row],[Order Date]],"yyyy")</f>
        <v>2024</v>
      </c>
      <c r="E456" t="s">
        <v>34</v>
      </c>
      <c r="F456" t="s">
        <v>29</v>
      </c>
      <c r="G456" t="s">
        <v>46</v>
      </c>
      <c r="H456" t="s">
        <v>14</v>
      </c>
      <c r="I456">
        <v>1</v>
      </c>
      <c r="J456" s="2">
        <v>32.99</v>
      </c>
      <c r="K456" s="2">
        <v>32.99</v>
      </c>
      <c r="L456">
        <v>5</v>
      </c>
      <c r="M456" t="str">
        <f>IF(Table1[[#This Row],[Customer Rating]]&gt;=3,"Good","Average")</f>
        <v>Good</v>
      </c>
    </row>
    <row r="457" spans="1:13" x14ac:dyDescent="0.25">
      <c r="A457" t="s">
        <v>507</v>
      </c>
      <c r="B457" s="4">
        <v>45930</v>
      </c>
      <c r="C457" s="4" t="str">
        <f>TEXT(Table1[[#This Row],[Order Date]],"mmm")</f>
        <v>Sep</v>
      </c>
      <c r="D457" s="4" t="str">
        <f>TEXT(Table1[[#This Row],[Order Date]],"yyyy")</f>
        <v>2025</v>
      </c>
      <c r="E457" t="s">
        <v>97</v>
      </c>
      <c r="F457" t="s">
        <v>12</v>
      </c>
      <c r="G457" t="s">
        <v>119</v>
      </c>
      <c r="H457" t="s">
        <v>19</v>
      </c>
      <c r="I457">
        <v>3</v>
      </c>
      <c r="J457" s="2">
        <v>4.99</v>
      </c>
      <c r="K457" s="2">
        <v>14.97</v>
      </c>
      <c r="L457">
        <v>5</v>
      </c>
      <c r="M457" t="str">
        <f>IF(Table1[[#This Row],[Customer Rating]]&gt;=3,"Good","Average")</f>
        <v>Good</v>
      </c>
    </row>
    <row r="458" spans="1:13" x14ac:dyDescent="0.25">
      <c r="A458" t="s">
        <v>508</v>
      </c>
      <c r="B458" s="4">
        <v>45314</v>
      </c>
      <c r="C458" s="4" t="str">
        <f>TEXT(Table1[[#This Row],[Order Date]],"mmm")</f>
        <v>Jan</v>
      </c>
      <c r="D458" s="4" t="str">
        <f>TEXT(Table1[[#This Row],[Order Date]],"yyyy")</f>
        <v>2024</v>
      </c>
      <c r="E458" t="s">
        <v>45</v>
      </c>
      <c r="F458" t="s">
        <v>29</v>
      </c>
      <c r="G458" t="s">
        <v>62</v>
      </c>
      <c r="H458" t="s">
        <v>23</v>
      </c>
      <c r="I458">
        <v>2</v>
      </c>
      <c r="J458" s="2">
        <v>9.99</v>
      </c>
      <c r="K458" s="2">
        <v>19.98</v>
      </c>
      <c r="L458">
        <v>4</v>
      </c>
      <c r="M458" t="str">
        <f>IF(Table1[[#This Row],[Customer Rating]]&gt;=3,"Good","Average")</f>
        <v>Good</v>
      </c>
    </row>
    <row r="459" spans="1:13" x14ac:dyDescent="0.25">
      <c r="A459" t="s">
        <v>509</v>
      </c>
      <c r="B459" s="4">
        <v>45375</v>
      </c>
      <c r="C459" s="4" t="str">
        <f>TEXT(Table1[[#This Row],[Order Date]],"mmm")</f>
        <v>Mar</v>
      </c>
      <c r="D459" s="4" t="str">
        <f>TEXT(Table1[[#This Row],[Order Date]],"yyyy")</f>
        <v>2024</v>
      </c>
      <c r="E459" t="s">
        <v>16</v>
      </c>
      <c r="F459" t="s">
        <v>12</v>
      </c>
      <c r="G459" t="s">
        <v>62</v>
      </c>
      <c r="H459" t="s">
        <v>23</v>
      </c>
      <c r="I459">
        <v>2</v>
      </c>
      <c r="J459" s="2">
        <v>9.99</v>
      </c>
      <c r="K459" s="2">
        <v>19.98</v>
      </c>
      <c r="L459">
        <v>2</v>
      </c>
      <c r="M459" t="str">
        <f>IF(Table1[[#This Row],[Customer Rating]]&gt;=3,"Good","Average")</f>
        <v>Average</v>
      </c>
    </row>
    <row r="460" spans="1:13" x14ac:dyDescent="0.25">
      <c r="A460" t="s">
        <v>510</v>
      </c>
      <c r="B460" s="4">
        <v>45584</v>
      </c>
      <c r="C460" s="4" t="str">
        <f>TEXT(Table1[[#This Row],[Order Date]],"mmm")</f>
        <v>Oct</v>
      </c>
      <c r="D460" s="4" t="str">
        <f>TEXT(Table1[[#This Row],[Order Date]],"yyyy")</f>
        <v>2024</v>
      </c>
      <c r="E460" t="s">
        <v>97</v>
      </c>
      <c r="F460" t="s">
        <v>12</v>
      </c>
      <c r="G460" t="s">
        <v>26</v>
      </c>
      <c r="H460" t="s">
        <v>19</v>
      </c>
      <c r="I460">
        <v>1</v>
      </c>
      <c r="J460" s="2">
        <v>3.49</v>
      </c>
      <c r="K460" s="2">
        <v>3.49</v>
      </c>
      <c r="L460">
        <v>4</v>
      </c>
      <c r="M460" t="str">
        <f>IF(Table1[[#This Row],[Customer Rating]]&gt;=3,"Good","Average")</f>
        <v>Good</v>
      </c>
    </row>
    <row r="461" spans="1:13" x14ac:dyDescent="0.25">
      <c r="A461" t="s">
        <v>511</v>
      </c>
      <c r="B461" s="4">
        <v>45589</v>
      </c>
      <c r="C461" s="4" t="str">
        <f>TEXT(Table1[[#This Row],[Order Date]],"mmm")</f>
        <v>Oct</v>
      </c>
      <c r="D461" s="4" t="str">
        <f>TEXT(Table1[[#This Row],[Order Date]],"yyyy")</f>
        <v>2024</v>
      </c>
      <c r="E461" t="s">
        <v>45</v>
      </c>
      <c r="F461" t="s">
        <v>12</v>
      </c>
      <c r="G461" t="s">
        <v>36</v>
      </c>
      <c r="H461" t="s">
        <v>14</v>
      </c>
      <c r="I461">
        <v>1</v>
      </c>
      <c r="J461" s="2">
        <v>16.989999999999998</v>
      </c>
      <c r="K461" s="2">
        <v>16.989999999999998</v>
      </c>
      <c r="L461">
        <v>5</v>
      </c>
      <c r="M461" t="str">
        <f>IF(Table1[[#This Row],[Customer Rating]]&gt;=3,"Good","Average")</f>
        <v>Good</v>
      </c>
    </row>
    <row r="462" spans="1:13" x14ac:dyDescent="0.25">
      <c r="A462" t="s">
        <v>512</v>
      </c>
      <c r="B462" s="4">
        <v>45807</v>
      </c>
      <c r="C462" s="4" t="str">
        <f>TEXT(Table1[[#This Row],[Order Date]],"mmm")</f>
        <v>May</v>
      </c>
      <c r="D462" s="4" t="str">
        <f>TEXT(Table1[[#This Row],[Order Date]],"yyyy")</f>
        <v>2025</v>
      </c>
      <c r="E462" t="s">
        <v>16</v>
      </c>
      <c r="F462" t="s">
        <v>12</v>
      </c>
      <c r="G462" t="s">
        <v>52</v>
      </c>
      <c r="H462" t="s">
        <v>19</v>
      </c>
      <c r="I462">
        <v>1</v>
      </c>
      <c r="J462" s="2">
        <v>6.99</v>
      </c>
      <c r="K462" s="2">
        <v>6.99</v>
      </c>
      <c r="L462">
        <v>5</v>
      </c>
      <c r="M462" t="str">
        <f>IF(Table1[[#This Row],[Customer Rating]]&gt;=3,"Good","Average")</f>
        <v>Good</v>
      </c>
    </row>
    <row r="463" spans="1:13" x14ac:dyDescent="0.25">
      <c r="A463" t="s">
        <v>513</v>
      </c>
      <c r="B463" s="4">
        <v>45942</v>
      </c>
      <c r="C463" s="4" t="str">
        <f>TEXT(Table1[[#This Row],[Order Date]],"mmm")</f>
        <v>Oct</v>
      </c>
      <c r="D463" s="4" t="str">
        <f>TEXT(Table1[[#This Row],[Order Date]],"yyyy")</f>
        <v>2025</v>
      </c>
      <c r="E463" t="s">
        <v>25</v>
      </c>
      <c r="F463" t="s">
        <v>17</v>
      </c>
      <c r="G463" t="s">
        <v>50</v>
      </c>
      <c r="H463" t="s">
        <v>14</v>
      </c>
      <c r="I463">
        <v>1</v>
      </c>
      <c r="J463" s="2">
        <v>22.99</v>
      </c>
      <c r="K463" s="2">
        <v>22.99</v>
      </c>
      <c r="L463">
        <v>4</v>
      </c>
      <c r="M463" t="str">
        <f>IF(Table1[[#This Row],[Customer Rating]]&gt;=3,"Good","Average")</f>
        <v>Good</v>
      </c>
    </row>
    <row r="464" spans="1:13" x14ac:dyDescent="0.25">
      <c r="A464" t="s">
        <v>514</v>
      </c>
      <c r="B464" s="4">
        <v>45683</v>
      </c>
      <c r="C464" s="4" t="str">
        <f>TEXT(Table1[[#This Row],[Order Date]],"mmm")</f>
        <v>Jan</v>
      </c>
      <c r="D464" s="4" t="str">
        <f>TEXT(Table1[[#This Row],[Order Date]],"yyyy")</f>
        <v>2025</v>
      </c>
      <c r="E464" t="s">
        <v>16</v>
      </c>
      <c r="F464" t="s">
        <v>29</v>
      </c>
      <c r="G464" t="s">
        <v>22</v>
      </c>
      <c r="H464" t="s">
        <v>23</v>
      </c>
      <c r="I464">
        <v>1</v>
      </c>
      <c r="J464" s="2">
        <v>8.99</v>
      </c>
      <c r="K464" s="2">
        <v>8.99</v>
      </c>
      <c r="L464">
        <v>4</v>
      </c>
      <c r="M464" t="str">
        <f>IF(Table1[[#This Row],[Customer Rating]]&gt;=3,"Good","Average")</f>
        <v>Good</v>
      </c>
    </row>
    <row r="465" spans="1:13" x14ac:dyDescent="0.25">
      <c r="A465" t="s">
        <v>515</v>
      </c>
      <c r="B465" s="4">
        <v>45300</v>
      </c>
      <c r="C465" s="4" t="str">
        <f>TEXT(Table1[[#This Row],[Order Date]],"mmm")</f>
        <v>Jan</v>
      </c>
      <c r="D465" s="4" t="str">
        <f>TEXT(Table1[[#This Row],[Order Date]],"yyyy")</f>
        <v>2024</v>
      </c>
      <c r="E465" t="s">
        <v>11</v>
      </c>
      <c r="F465" t="s">
        <v>29</v>
      </c>
      <c r="G465" t="s">
        <v>221</v>
      </c>
      <c r="H465" t="s">
        <v>67</v>
      </c>
      <c r="I465">
        <v>2</v>
      </c>
      <c r="J465" s="2">
        <v>9.99</v>
      </c>
      <c r="K465" s="2">
        <v>19.98</v>
      </c>
      <c r="L465">
        <v>3</v>
      </c>
      <c r="M465" t="str">
        <f>IF(Table1[[#This Row],[Customer Rating]]&gt;=3,"Good","Average")</f>
        <v>Good</v>
      </c>
    </row>
    <row r="466" spans="1:13" x14ac:dyDescent="0.25">
      <c r="A466" t="s">
        <v>516</v>
      </c>
      <c r="B466" s="4">
        <v>45905</v>
      </c>
      <c r="C466" s="4" t="str">
        <f>TEXT(Table1[[#This Row],[Order Date]],"mmm")</f>
        <v>Sep</v>
      </c>
      <c r="D466" s="4" t="str">
        <f>TEXT(Table1[[#This Row],[Order Date]],"yyyy")</f>
        <v>2025</v>
      </c>
      <c r="E466" t="s">
        <v>25</v>
      </c>
      <c r="F466" t="s">
        <v>17</v>
      </c>
      <c r="G466" t="s">
        <v>119</v>
      </c>
      <c r="H466" t="s">
        <v>19</v>
      </c>
      <c r="I466">
        <v>2</v>
      </c>
      <c r="J466" s="2">
        <v>4.99</v>
      </c>
      <c r="K466" s="2">
        <v>9.98</v>
      </c>
      <c r="L466">
        <v>4</v>
      </c>
      <c r="M466" t="str">
        <f>IF(Table1[[#This Row],[Customer Rating]]&gt;=3,"Good","Average")</f>
        <v>Good</v>
      </c>
    </row>
    <row r="467" spans="1:13" x14ac:dyDescent="0.25">
      <c r="A467" t="s">
        <v>517</v>
      </c>
      <c r="B467" s="4">
        <v>45755</v>
      </c>
      <c r="C467" s="4" t="str">
        <f>TEXT(Table1[[#This Row],[Order Date]],"mmm")</f>
        <v>Apr</v>
      </c>
      <c r="D467" s="4" t="str">
        <f>TEXT(Table1[[#This Row],[Order Date]],"yyyy")</f>
        <v>2025</v>
      </c>
      <c r="E467" t="s">
        <v>45</v>
      </c>
      <c r="F467" t="s">
        <v>17</v>
      </c>
      <c r="G467" t="s">
        <v>41</v>
      </c>
      <c r="H467" t="s">
        <v>23</v>
      </c>
      <c r="I467">
        <v>3</v>
      </c>
      <c r="J467" s="2">
        <v>12.99</v>
      </c>
      <c r="K467" s="2">
        <v>38.97</v>
      </c>
      <c r="L467">
        <v>5</v>
      </c>
      <c r="M467" t="str">
        <f>IF(Table1[[#This Row],[Customer Rating]]&gt;=3,"Good","Average")</f>
        <v>Good</v>
      </c>
    </row>
    <row r="468" spans="1:13" x14ac:dyDescent="0.25">
      <c r="A468" t="s">
        <v>518</v>
      </c>
      <c r="B468" s="4">
        <v>45766</v>
      </c>
      <c r="C468" s="4" t="str">
        <f>TEXT(Table1[[#This Row],[Order Date]],"mmm")</f>
        <v>Apr</v>
      </c>
      <c r="D468" s="4" t="str">
        <f>TEXT(Table1[[#This Row],[Order Date]],"yyyy")</f>
        <v>2025</v>
      </c>
      <c r="E468" t="s">
        <v>21</v>
      </c>
      <c r="F468" t="s">
        <v>29</v>
      </c>
      <c r="G468" t="s">
        <v>55</v>
      </c>
      <c r="H468" t="s">
        <v>23</v>
      </c>
      <c r="I468">
        <v>3</v>
      </c>
      <c r="J468" s="2">
        <v>10.99</v>
      </c>
      <c r="K468" s="2">
        <v>32.97</v>
      </c>
      <c r="L468">
        <v>3</v>
      </c>
      <c r="M468" t="str">
        <f>IF(Table1[[#This Row],[Customer Rating]]&gt;=3,"Good","Average")</f>
        <v>Good</v>
      </c>
    </row>
    <row r="469" spans="1:13" x14ac:dyDescent="0.25">
      <c r="A469" t="s">
        <v>519</v>
      </c>
      <c r="B469" s="4">
        <v>45807</v>
      </c>
      <c r="C469" s="4" t="str">
        <f>TEXT(Table1[[#This Row],[Order Date]],"mmm")</f>
        <v>May</v>
      </c>
      <c r="D469" s="4" t="str">
        <f>TEXT(Table1[[#This Row],[Order Date]],"yyyy")</f>
        <v>2025</v>
      </c>
      <c r="E469" t="s">
        <v>45</v>
      </c>
      <c r="F469" t="s">
        <v>29</v>
      </c>
      <c r="G469" t="s">
        <v>26</v>
      </c>
      <c r="H469" t="s">
        <v>19</v>
      </c>
      <c r="I469">
        <v>2</v>
      </c>
      <c r="J469" s="2">
        <v>3.49</v>
      </c>
      <c r="K469" s="2">
        <v>6.98</v>
      </c>
      <c r="L469">
        <v>5</v>
      </c>
      <c r="M469" t="str">
        <f>IF(Table1[[#This Row],[Customer Rating]]&gt;=3,"Good","Average")</f>
        <v>Good</v>
      </c>
    </row>
    <row r="470" spans="1:13" x14ac:dyDescent="0.25">
      <c r="A470" t="s">
        <v>520</v>
      </c>
      <c r="B470" s="4">
        <v>45874</v>
      </c>
      <c r="C470" s="4" t="str">
        <f>TEXT(Table1[[#This Row],[Order Date]],"mmm")</f>
        <v>Aug</v>
      </c>
      <c r="D470" s="4" t="str">
        <f>TEXT(Table1[[#This Row],[Order Date]],"yyyy")</f>
        <v>2025</v>
      </c>
      <c r="E470" t="s">
        <v>32</v>
      </c>
      <c r="F470" t="s">
        <v>12</v>
      </c>
      <c r="G470" t="s">
        <v>39</v>
      </c>
      <c r="H470" t="s">
        <v>14</v>
      </c>
      <c r="I470">
        <v>2</v>
      </c>
      <c r="J470" s="2">
        <v>24.99</v>
      </c>
      <c r="K470" s="2">
        <v>49.98</v>
      </c>
      <c r="L470">
        <v>5</v>
      </c>
      <c r="M470" t="str">
        <f>IF(Table1[[#This Row],[Customer Rating]]&gt;=3,"Good","Average")</f>
        <v>Good</v>
      </c>
    </row>
    <row r="471" spans="1:13" x14ac:dyDescent="0.25">
      <c r="A471" t="s">
        <v>521</v>
      </c>
      <c r="B471" s="4">
        <v>45454</v>
      </c>
      <c r="C471" s="4" t="str">
        <f>TEXT(Table1[[#This Row],[Order Date]],"mmm")</f>
        <v>Jun</v>
      </c>
      <c r="D471" s="4" t="str">
        <f>TEXT(Table1[[#This Row],[Order Date]],"yyyy")</f>
        <v>2024</v>
      </c>
      <c r="E471" t="s">
        <v>16</v>
      </c>
      <c r="F471" t="s">
        <v>29</v>
      </c>
      <c r="G471" t="s">
        <v>39</v>
      </c>
      <c r="H471" t="s">
        <v>14</v>
      </c>
      <c r="I471">
        <v>1</v>
      </c>
      <c r="J471" s="2">
        <v>24.99</v>
      </c>
      <c r="K471" s="2">
        <v>24.99</v>
      </c>
      <c r="L471">
        <v>4</v>
      </c>
      <c r="M471" t="str">
        <f>IF(Table1[[#This Row],[Customer Rating]]&gt;=3,"Good","Average")</f>
        <v>Good</v>
      </c>
    </row>
    <row r="472" spans="1:13" x14ac:dyDescent="0.25">
      <c r="A472" t="s">
        <v>522</v>
      </c>
      <c r="B472" s="4">
        <v>45808</v>
      </c>
      <c r="C472" s="4" t="str">
        <f>TEXT(Table1[[#This Row],[Order Date]],"mmm")</f>
        <v>May</v>
      </c>
      <c r="D472" s="4" t="str">
        <f>TEXT(Table1[[#This Row],[Order Date]],"yyyy")</f>
        <v>2025</v>
      </c>
      <c r="E472" t="s">
        <v>28</v>
      </c>
      <c r="F472" t="s">
        <v>29</v>
      </c>
      <c r="G472" t="s">
        <v>39</v>
      </c>
      <c r="H472" t="s">
        <v>14</v>
      </c>
      <c r="I472">
        <v>1</v>
      </c>
      <c r="J472" s="2">
        <v>24.99</v>
      </c>
      <c r="K472" s="2">
        <v>24.99</v>
      </c>
      <c r="L472">
        <v>5</v>
      </c>
      <c r="M472" t="str">
        <f>IF(Table1[[#This Row],[Customer Rating]]&gt;=3,"Good","Average")</f>
        <v>Good</v>
      </c>
    </row>
    <row r="473" spans="1:13" x14ac:dyDescent="0.25">
      <c r="A473" t="s">
        <v>523</v>
      </c>
      <c r="B473" s="4">
        <v>45945</v>
      </c>
      <c r="C473" s="4" t="str">
        <f>TEXT(Table1[[#This Row],[Order Date]],"mmm")</f>
        <v>Oct</v>
      </c>
      <c r="D473" s="4" t="str">
        <f>TEXT(Table1[[#This Row],[Order Date]],"yyyy")</f>
        <v>2025</v>
      </c>
      <c r="E473" t="s">
        <v>11</v>
      </c>
      <c r="F473" t="s">
        <v>12</v>
      </c>
      <c r="G473" t="s">
        <v>36</v>
      </c>
      <c r="H473" t="s">
        <v>14</v>
      </c>
      <c r="I473">
        <v>3</v>
      </c>
      <c r="J473" s="2">
        <v>16.989999999999998</v>
      </c>
      <c r="K473" s="2">
        <v>50.97</v>
      </c>
      <c r="L473">
        <v>4</v>
      </c>
      <c r="M473" t="str">
        <f>IF(Table1[[#This Row],[Customer Rating]]&gt;=3,"Good","Average")</f>
        <v>Good</v>
      </c>
    </row>
    <row r="474" spans="1:13" x14ac:dyDescent="0.25">
      <c r="A474" t="s">
        <v>524</v>
      </c>
      <c r="B474" s="4">
        <v>45312</v>
      </c>
      <c r="C474" s="4" t="str">
        <f>TEXT(Table1[[#This Row],[Order Date]],"mmm")</f>
        <v>Jan</v>
      </c>
      <c r="D474" s="4" t="str">
        <f>TEXT(Table1[[#This Row],[Order Date]],"yyyy")</f>
        <v>2024</v>
      </c>
      <c r="E474" t="s">
        <v>38</v>
      </c>
      <c r="F474" t="s">
        <v>29</v>
      </c>
      <c r="G474" t="s">
        <v>79</v>
      </c>
      <c r="H474" t="s">
        <v>67</v>
      </c>
      <c r="I474">
        <v>2</v>
      </c>
      <c r="J474" s="2">
        <v>10.99</v>
      </c>
      <c r="K474" s="2">
        <v>21.98</v>
      </c>
      <c r="L474">
        <v>3</v>
      </c>
      <c r="M474" t="str">
        <f>IF(Table1[[#This Row],[Customer Rating]]&gt;=3,"Good","Average")</f>
        <v>Good</v>
      </c>
    </row>
    <row r="475" spans="1:13" x14ac:dyDescent="0.25">
      <c r="A475" t="s">
        <v>525</v>
      </c>
      <c r="B475" s="4">
        <v>45297</v>
      </c>
      <c r="C475" s="4" t="str">
        <f>TEXT(Table1[[#This Row],[Order Date]],"mmm")</f>
        <v>Jan</v>
      </c>
      <c r="D475" s="4" t="str">
        <f>TEXT(Table1[[#This Row],[Order Date]],"yyyy")</f>
        <v>2024</v>
      </c>
      <c r="E475" t="s">
        <v>25</v>
      </c>
      <c r="F475" t="s">
        <v>17</v>
      </c>
      <c r="G475" t="s">
        <v>83</v>
      </c>
      <c r="H475" t="s">
        <v>14</v>
      </c>
      <c r="I475">
        <v>2</v>
      </c>
      <c r="J475" s="2">
        <v>17.989999999999998</v>
      </c>
      <c r="K475" s="2">
        <v>35.979999999999997</v>
      </c>
      <c r="L475">
        <v>5</v>
      </c>
      <c r="M475" t="str">
        <f>IF(Table1[[#This Row],[Customer Rating]]&gt;=3,"Good","Average")</f>
        <v>Good</v>
      </c>
    </row>
    <row r="476" spans="1:13" x14ac:dyDescent="0.25">
      <c r="A476" t="s">
        <v>526</v>
      </c>
      <c r="B476" s="4">
        <v>45493</v>
      </c>
      <c r="C476" s="4" t="str">
        <f>TEXT(Table1[[#This Row],[Order Date]],"mmm")</f>
        <v>Jul</v>
      </c>
      <c r="D476" s="4" t="str">
        <f>TEXT(Table1[[#This Row],[Order Date]],"yyyy")</f>
        <v>2024</v>
      </c>
      <c r="E476" t="s">
        <v>11</v>
      </c>
      <c r="F476" t="s">
        <v>17</v>
      </c>
      <c r="G476" t="s">
        <v>36</v>
      </c>
      <c r="H476" t="s">
        <v>14</v>
      </c>
      <c r="I476">
        <v>1</v>
      </c>
      <c r="J476" s="2">
        <v>16.989999999999998</v>
      </c>
      <c r="K476" s="2">
        <v>16.989999999999998</v>
      </c>
      <c r="L476">
        <v>4</v>
      </c>
      <c r="M476" t="str">
        <f>IF(Table1[[#This Row],[Customer Rating]]&gt;=3,"Good","Average")</f>
        <v>Good</v>
      </c>
    </row>
    <row r="477" spans="1:13" x14ac:dyDescent="0.25">
      <c r="A477" t="s">
        <v>527</v>
      </c>
      <c r="B477" s="4">
        <v>45293</v>
      </c>
      <c r="C477" s="4" t="str">
        <f>TEXT(Table1[[#This Row],[Order Date]],"mmm")</f>
        <v>Jan</v>
      </c>
      <c r="D477" s="4" t="str">
        <f>TEXT(Table1[[#This Row],[Order Date]],"yyyy")</f>
        <v>2024</v>
      </c>
      <c r="E477" t="s">
        <v>11</v>
      </c>
      <c r="F477" t="s">
        <v>17</v>
      </c>
      <c r="G477" t="s">
        <v>50</v>
      </c>
      <c r="H477" t="s">
        <v>14</v>
      </c>
      <c r="I477">
        <v>2</v>
      </c>
      <c r="J477" s="2">
        <v>22.99</v>
      </c>
      <c r="K477" s="2">
        <v>45.98</v>
      </c>
      <c r="L477">
        <v>4</v>
      </c>
      <c r="M477" t="str">
        <f>IF(Table1[[#This Row],[Customer Rating]]&gt;=3,"Good","Average")</f>
        <v>Good</v>
      </c>
    </row>
    <row r="478" spans="1:13" x14ac:dyDescent="0.25">
      <c r="A478" t="s">
        <v>528</v>
      </c>
      <c r="B478" s="4">
        <v>45465</v>
      </c>
      <c r="C478" s="4" t="str">
        <f>TEXT(Table1[[#This Row],[Order Date]],"mmm")</f>
        <v>Jun</v>
      </c>
      <c r="D478" s="4" t="str">
        <f>TEXT(Table1[[#This Row],[Order Date]],"yyyy")</f>
        <v>2024</v>
      </c>
      <c r="E478" t="s">
        <v>28</v>
      </c>
      <c r="F478" t="s">
        <v>29</v>
      </c>
      <c r="G478" t="s">
        <v>30</v>
      </c>
      <c r="H478" t="s">
        <v>19</v>
      </c>
      <c r="I478">
        <v>2</v>
      </c>
      <c r="J478" s="2">
        <v>7.99</v>
      </c>
      <c r="K478" s="2">
        <v>15.98</v>
      </c>
      <c r="L478">
        <v>3</v>
      </c>
      <c r="M478" t="str">
        <f>IF(Table1[[#This Row],[Customer Rating]]&gt;=3,"Good","Average")</f>
        <v>Good</v>
      </c>
    </row>
    <row r="479" spans="1:13" x14ac:dyDescent="0.25">
      <c r="A479" t="s">
        <v>529</v>
      </c>
      <c r="B479" s="4">
        <v>45636</v>
      </c>
      <c r="C479" s="4" t="str">
        <f>TEXT(Table1[[#This Row],[Order Date]],"mmm")</f>
        <v>Dec</v>
      </c>
      <c r="D479" s="4" t="str">
        <f>TEXT(Table1[[#This Row],[Order Date]],"yyyy")</f>
        <v>2024</v>
      </c>
      <c r="E479" t="s">
        <v>32</v>
      </c>
      <c r="F479" t="s">
        <v>17</v>
      </c>
      <c r="G479" t="s">
        <v>13</v>
      </c>
      <c r="H479" t="s">
        <v>14</v>
      </c>
      <c r="I479">
        <v>1</v>
      </c>
      <c r="J479" s="2">
        <v>18.989999999999998</v>
      </c>
      <c r="K479" s="2">
        <v>18.989999999999998</v>
      </c>
      <c r="L479">
        <v>3</v>
      </c>
      <c r="M479" t="str">
        <f>IF(Table1[[#This Row],[Customer Rating]]&gt;=3,"Good","Average")</f>
        <v>Good</v>
      </c>
    </row>
    <row r="480" spans="1:13" x14ac:dyDescent="0.25">
      <c r="A480" t="s">
        <v>530</v>
      </c>
      <c r="B480" s="4">
        <v>45647</v>
      </c>
      <c r="C480" s="4" t="str">
        <f>TEXT(Table1[[#This Row],[Order Date]],"mmm")</f>
        <v>Dec</v>
      </c>
      <c r="D480" s="4" t="str">
        <f>TEXT(Table1[[#This Row],[Order Date]],"yyyy")</f>
        <v>2024</v>
      </c>
      <c r="E480" t="s">
        <v>45</v>
      </c>
      <c r="F480" t="s">
        <v>17</v>
      </c>
      <c r="G480" t="s">
        <v>13</v>
      </c>
      <c r="H480" t="s">
        <v>14</v>
      </c>
      <c r="I480">
        <v>2</v>
      </c>
      <c r="J480" s="2">
        <v>18.989999999999998</v>
      </c>
      <c r="K480" s="2">
        <v>37.979999999999997</v>
      </c>
      <c r="L480">
        <v>3</v>
      </c>
      <c r="M480" t="str">
        <f>IF(Table1[[#This Row],[Customer Rating]]&gt;=3,"Good","Average")</f>
        <v>Good</v>
      </c>
    </row>
    <row r="481" spans="1:13" x14ac:dyDescent="0.25">
      <c r="A481" t="s">
        <v>531</v>
      </c>
      <c r="B481" s="4">
        <v>45845</v>
      </c>
      <c r="C481" s="4" t="str">
        <f>TEXT(Table1[[#This Row],[Order Date]],"mmm")</f>
        <v>Jul</v>
      </c>
      <c r="D481" s="4" t="str">
        <f>TEXT(Table1[[#This Row],[Order Date]],"yyyy")</f>
        <v>2025</v>
      </c>
      <c r="E481" t="s">
        <v>32</v>
      </c>
      <c r="F481" t="s">
        <v>12</v>
      </c>
      <c r="G481" t="s">
        <v>13</v>
      </c>
      <c r="H481" t="s">
        <v>14</v>
      </c>
      <c r="I481">
        <v>2</v>
      </c>
      <c r="J481" s="2">
        <v>18.989999999999998</v>
      </c>
      <c r="K481" s="2">
        <v>37.979999999999997</v>
      </c>
      <c r="L481">
        <v>3</v>
      </c>
      <c r="M481" t="str">
        <f>IF(Table1[[#This Row],[Customer Rating]]&gt;=3,"Good","Average")</f>
        <v>Good</v>
      </c>
    </row>
    <row r="482" spans="1:13" x14ac:dyDescent="0.25">
      <c r="A482" t="s">
        <v>532</v>
      </c>
      <c r="B482" s="4">
        <v>45339</v>
      </c>
      <c r="C482" s="4" t="str">
        <f>TEXT(Table1[[#This Row],[Order Date]],"mmm")</f>
        <v>Feb</v>
      </c>
      <c r="D482" s="4" t="str">
        <f>TEXT(Table1[[#This Row],[Order Date]],"yyyy")</f>
        <v>2024</v>
      </c>
      <c r="E482" t="s">
        <v>32</v>
      </c>
      <c r="F482" t="s">
        <v>29</v>
      </c>
      <c r="G482" t="s">
        <v>36</v>
      </c>
      <c r="H482" t="s">
        <v>14</v>
      </c>
      <c r="I482">
        <v>1</v>
      </c>
      <c r="J482" s="2">
        <v>16.989999999999998</v>
      </c>
      <c r="K482" s="2">
        <v>16.989999999999998</v>
      </c>
      <c r="L482">
        <v>4</v>
      </c>
      <c r="M482" t="str">
        <f>IF(Table1[[#This Row],[Customer Rating]]&gt;=3,"Good","Average")</f>
        <v>Good</v>
      </c>
    </row>
    <row r="483" spans="1:13" x14ac:dyDescent="0.25">
      <c r="A483" t="s">
        <v>533</v>
      </c>
      <c r="B483" s="4">
        <v>45741</v>
      </c>
      <c r="C483" s="4" t="str">
        <f>TEXT(Table1[[#This Row],[Order Date]],"mmm")</f>
        <v>Mar</v>
      </c>
      <c r="D483" s="4" t="str">
        <f>TEXT(Table1[[#This Row],[Order Date]],"yyyy")</f>
        <v>2025</v>
      </c>
      <c r="E483" t="s">
        <v>38</v>
      </c>
      <c r="F483" t="s">
        <v>17</v>
      </c>
      <c r="G483" t="s">
        <v>46</v>
      </c>
      <c r="H483" t="s">
        <v>14</v>
      </c>
      <c r="I483">
        <v>2</v>
      </c>
      <c r="J483" s="2">
        <v>32.99</v>
      </c>
      <c r="K483" s="2">
        <v>65.98</v>
      </c>
      <c r="L483">
        <v>4</v>
      </c>
      <c r="M483" t="str">
        <f>IF(Table1[[#This Row],[Customer Rating]]&gt;=3,"Good","Average")</f>
        <v>Good</v>
      </c>
    </row>
    <row r="484" spans="1:13" x14ac:dyDescent="0.25">
      <c r="A484" t="s">
        <v>534</v>
      </c>
      <c r="B484" s="4">
        <v>45704</v>
      </c>
      <c r="C484" s="4" t="str">
        <f>TEXT(Table1[[#This Row],[Order Date]],"mmm")</f>
        <v>Feb</v>
      </c>
      <c r="D484" s="4" t="str">
        <f>TEXT(Table1[[#This Row],[Order Date]],"yyyy")</f>
        <v>2025</v>
      </c>
      <c r="E484" t="s">
        <v>11</v>
      </c>
      <c r="F484" t="s">
        <v>17</v>
      </c>
      <c r="G484" t="s">
        <v>119</v>
      </c>
      <c r="H484" t="s">
        <v>19</v>
      </c>
      <c r="I484">
        <v>1</v>
      </c>
      <c r="J484" s="2">
        <v>4.99</v>
      </c>
      <c r="K484" s="2">
        <v>4.99</v>
      </c>
      <c r="L484">
        <v>3</v>
      </c>
      <c r="M484" t="str">
        <f>IF(Table1[[#This Row],[Customer Rating]]&gt;=3,"Good","Average")</f>
        <v>Good</v>
      </c>
    </row>
    <row r="485" spans="1:13" x14ac:dyDescent="0.25">
      <c r="A485" t="s">
        <v>535</v>
      </c>
      <c r="B485" s="4">
        <v>45356</v>
      </c>
      <c r="C485" s="4" t="str">
        <f>TEXT(Table1[[#This Row],[Order Date]],"mmm")</f>
        <v>Mar</v>
      </c>
      <c r="D485" s="4" t="str">
        <f>TEXT(Table1[[#This Row],[Order Date]],"yyyy")</f>
        <v>2024</v>
      </c>
      <c r="E485" t="s">
        <v>38</v>
      </c>
      <c r="F485" t="s">
        <v>29</v>
      </c>
      <c r="G485" t="s">
        <v>119</v>
      </c>
      <c r="H485" t="s">
        <v>19</v>
      </c>
      <c r="I485">
        <v>2</v>
      </c>
      <c r="J485" s="2">
        <v>4.99</v>
      </c>
      <c r="K485" s="2">
        <v>9.98</v>
      </c>
      <c r="L485">
        <v>5</v>
      </c>
      <c r="M485" t="str">
        <f>IF(Table1[[#This Row],[Customer Rating]]&gt;=3,"Good","Average")</f>
        <v>Good</v>
      </c>
    </row>
    <row r="486" spans="1:13" x14ac:dyDescent="0.25">
      <c r="A486" t="s">
        <v>536</v>
      </c>
      <c r="B486" s="4">
        <v>45337</v>
      </c>
      <c r="C486" s="4" t="str">
        <f>TEXT(Table1[[#This Row],[Order Date]],"mmm")</f>
        <v>Feb</v>
      </c>
      <c r="D486" s="4" t="str">
        <f>TEXT(Table1[[#This Row],[Order Date]],"yyyy")</f>
        <v>2024</v>
      </c>
      <c r="E486" t="s">
        <v>34</v>
      </c>
      <c r="F486" t="s">
        <v>17</v>
      </c>
      <c r="G486" t="s">
        <v>39</v>
      </c>
      <c r="H486" t="s">
        <v>14</v>
      </c>
      <c r="I486">
        <v>1</v>
      </c>
      <c r="J486" s="2">
        <v>24.99</v>
      </c>
      <c r="K486" s="2">
        <v>24.99</v>
      </c>
      <c r="L486">
        <v>3</v>
      </c>
      <c r="M486" t="str">
        <f>IF(Table1[[#This Row],[Customer Rating]]&gt;=3,"Good","Average")</f>
        <v>Good</v>
      </c>
    </row>
    <row r="487" spans="1:13" x14ac:dyDescent="0.25">
      <c r="A487" t="s">
        <v>537</v>
      </c>
      <c r="B487" s="4">
        <v>45797</v>
      </c>
      <c r="C487" s="4" t="str">
        <f>TEXT(Table1[[#This Row],[Order Date]],"mmm")</f>
        <v>May</v>
      </c>
      <c r="D487" s="4" t="str">
        <f>TEXT(Table1[[#This Row],[Order Date]],"yyyy")</f>
        <v>2025</v>
      </c>
      <c r="E487" t="s">
        <v>11</v>
      </c>
      <c r="F487" t="s">
        <v>17</v>
      </c>
      <c r="G487" t="s">
        <v>83</v>
      </c>
      <c r="H487" t="s">
        <v>14</v>
      </c>
      <c r="I487">
        <v>3</v>
      </c>
      <c r="J487" s="2">
        <v>17.989999999999998</v>
      </c>
      <c r="K487" s="2">
        <v>53.97</v>
      </c>
      <c r="L487">
        <v>5</v>
      </c>
      <c r="M487" t="str">
        <f>IF(Table1[[#This Row],[Customer Rating]]&gt;=3,"Good","Average")</f>
        <v>Good</v>
      </c>
    </row>
    <row r="488" spans="1:13" x14ac:dyDescent="0.25">
      <c r="A488" t="s">
        <v>538</v>
      </c>
      <c r="B488" s="4">
        <v>45965</v>
      </c>
      <c r="C488" s="4" t="str">
        <f>TEXT(Table1[[#This Row],[Order Date]],"mmm")</f>
        <v>Nov</v>
      </c>
      <c r="D488" s="4" t="str">
        <f>TEXT(Table1[[#This Row],[Order Date]],"yyyy")</f>
        <v>2025</v>
      </c>
      <c r="E488" t="s">
        <v>32</v>
      </c>
      <c r="F488" t="s">
        <v>12</v>
      </c>
      <c r="G488" t="s">
        <v>13</v>
      </c>
      <c r="H488" t="s">
        <v>14</v>
      </c>
      <c r="I488">
        <v>2</v>
      </c>
      <c r="J488" s="2">
        <v>18.989999999999998</v>
      </c>
      <c r="K488" s="2">
        <v>37.979999999999997</v>
      </c>
      <c r="L488">
        <v>3</v>
      </c>
      <c r="M488" t="str">
        <f>IF(Table1[[#This Row],[Customer Rating]]&gt;=3,"Good","Average")</f>
        <v>Good</v>
      </c>
    </row>
    <row r="489" spans="1:13" x14ac:dyDescent="0.25">
      <c r="A489" t="s">
        <v>539</v>
      </c>
      <c r="B489" s="4">
        <v>45591</v>
      </c>
      <c r="C489" s="4" t="str">
        <f>TEXT(Table1[[#This Row],[Order Date]],"mmm")</f>
        <v>Oct</v>
      </c>
      <c r="D489" s="4" t="str">
        <f>TEXT(Table1[[#This Row],[Order Date]],"yyyy")</f>
        <v>2024</v>
      </c>
      <c r="E489" t="s">
        <v>97</v>
      </c>
      <c r="F489" t="s">
        <v>29</v>
      </c>
      <c r="G489" t="s">
        <v>13</v>
      </c>
      <c r="H489" t="s">
        <v>14</v>
      </c>
      <c r="I489">
        <v>1</v>
      </c>
      <c r="J489" s="2">
        <v>18.989999999999998</v>
      </c>
      <c r="K489" s="2">
        <v>18.989999999999998</v>
      </c>
      <c r="L489">
        <v>4</v>
      </c>
      <c r="M489" t="str">
        <f>IF(Table1[[#This Row],[Customer Rating]]&gt;=3,"Good","Average")</f>
        <v>Good</v>
      </c>
    </row>
    <row r="490" spans="1:13" x14ac:dyDescent="0.25">
      <c r="A490" t="s">
        <v>540</v>
      </c>
      <c r="B490" s="4">
        <v>45455</v>
      </c>
      <c r="C490" s="4" t="str">
        <f>TEXT(Table1[[#This Row],[Order Date]],"mmm")</f>
        <v>Jun</v>
      </c>
      <c r="D490" s="4" t="str">
        <f>TEXT(Table1[[#This Row],[Order Date]],"yyyy")</f>
        <v>2024</v>
      </c>
      <c r="E490" t="s">
        <v>11</v>
      </c>
      <c r="F490" t="s">
        <v>29</v>
      </c>
      <c r="G490" t="s">
        <v>66</v>
      </c>
      <c r="H490" t="s">
        <v>67</v>
      </c>
      <c r="I490">
        <v>1</v>
      </c>
      <c r="J490" s="2">
        <v>7.99</v>
      </c>
      <c r="K490" s="2">
        <v>7.99</v>
      </c>
      <c r="L490">
        <v>5</v>
      </c>
      <c r="M490" t="str">
        <f>IF(Table1[[#This Row],[Customer Rating]]&gt;=3,"Good","Average")</f>
        <v>Good</v>
      </c>
    </row>
    <row r="491" spans="1:13" x14ac:dyDescent="0.25">
      <c r="A491" t="s">
        <v>541</v>
      </c>
      <c r="B491" s="4">
        <v>45410</v>
      </c>
      <c r="C491" s="4" t="str">
        <f>TEXT(Table1[[#This Row],[Order Date]],"mmm")</f>
        <v>Apr</v>
      </c>
      <c r="D491" s="4" t="str">
        <f>TEXT(Table1[[#This Row],[Order Date]],"yyyy")</f>
        <v>2024</v>
      </c>
      <c r="E491" t="s">
        <v>32</v>
      </c>
      <c r="F491" t="s">
        <v>29</v>
      </c>
      <c r="G491" t="s">
        <v>69</v>
      </c>
      <c r="H491" t="s">
        <v>67</v>
      </c>
      <c r="I491">
        <v>2</v>
      </c>
      <c r="J491" s="2">
        <v>8.99</v>
      </c>
      <c r="K491" s="2">
        <v>17.98</v>
      </c>
      <c r="L491">
        <v>4</v>
      </c>
      <c r="M491" t="str">
        <f>IF(Table1[[#This Row],[Customer Rating]]&gt;=3,"Good","Average")</f>
        <v>Good</v>
      </c>
    </row>
    <row r="492" spans="1:13" x14ac:dyDescent="0.25">
      <c r="A492" t="s">
        <v>542</v>
      </c>
      <c r="B492" s="4">
        <v>45787</v>
      </c>
      <c r="C492" s="4" t="str">
        <f>TEXT(Table1[[#This Row],[Order Date]],"mmm")</f>
        <v>May</v>
      </c>
      <c r="D492" s="4" t="str">
        <f>TEXT(Table1[[#This Row],[Order Date]],"yyyy")</f>
        <v>2025</v>
      </c>
      <c r="E492" t="s">
        <v>16</v>
      </c>
      <c r="F492" t="s">
        <v>12</v>
      </c>
      <c r="G492" t="s">
        <v>112</v>
      </c>
      <c r="H492" t="s">
        <v>19</v>
      </c>
      <c r="I492">
        <v>2</v>
      </c>
      <c r="J492" s="2">
        <v>5.99</v>
      </c>
      <c r="K492" s="2">
        <v>11.98</v>
      </c>
      <c r="L492">
        <v>4</v>
      </c>
      <c r="M492" t="str">
        <f>IF(Table1[[#This Row],[Customer Rating]]&gt;=3,"Good","Average")</f>
        <v>Good</v>
      </c>
    </row>
    <row r="493" spans="1:13" x14ac:dyDescent="0.25">
      <c r="A493" t="s">
        <v>543</v>
      </c>
      <c r="B493" s="4">
        <v>45374</v>
      </c>
      <c r="C493" s="4" t="str">
        <f>TEXT(Table1[[#This Row],[Order Date]],"mmm")</f>
        <v>Mar</v>
      </c>
      <c r="D493" s="4" t="str">
        <f>TEXT(Table1[[#This Row],[Order Date]],"yyyy")</f>
        <v>2024</v>
      </c>
      <c r="E493" t="s">
        <v>28</v>
      </c>
      <c r="F493" t="s">
        <v>29</v>
      </c>
      <c r="G493" t="s">
        <v>112</v>
      </c>
      <c r="H493" t="s">
        <v>19</v>
      </c>
      <c r="I493">
        <v>2</v>
      </c>
      <c r="J493" s="2">
        <v>5.99</v>
      </c>
      <c r="K493" s="2">
        <v>11.98</v>
      </c>
      <c r="L493">
        <v>3</v>
      </c>
      <c r="M493" t="str">
        <f>IF(Table1[[#This Row],[Customer Rating]]&gt;=3,"Good","Average")</f>
        <v>Good</v>
      </c>
    </row>
    <row r="494" spans="1:13" x14ac:dyDescent="0.25">
      <c r="A494" t="s">
        <v>544</v>
      </c>
      <c r="B494" s="4">
        <v>45837</v>
      </c>
      <c r="C494" s="4" t="str">
        <f>TEXT(Table1[[#This Row],[Order Date]],"mmm")</f>
        <v>Jun</v>
      </c>
      <c r="D494" s="4" t="str">
        <f>TEXT(Table1[[#This Row],[Order Date]],"yyyy")</f>
        <v>2025</v>
      </c>
      <c r="E494" t="s">
        <v>97</v>
      </c>
      <c r="F494" t="s">
        <v>29</v>
      </c>
      <c r="G494" t="s">
        <v>112</v>
      </c>
      <c r="H494" t="s">
        <v>19</v>
      </c>
      <c r="I494">
        <v>2</v>
      </c>
      <c r="J494" s="2">
        <v>5.99</v>
      </c>
      <c r="K494" s="2">
        <v>11.98</v>
      </c>
      <c r="L494">
        <v>4</v>
      </c>
      <c r="M494" t="str">
        <f>IF(Table1[[#This Row],[Customer Rating]]&gt;=3,"Good","Average")</f>
        <v>Good</v>
      </c>
    </row>
    <row r="495" spans="1:13" x14ac:dyDescent="0.25">
      <c r="A495" t="s">
        <v>545</v>
      </c>
      <c r="B495" s="4">
        <v>45611</v>
      </c>
      <c r="C495" s="4" t="str">
        <f>TEXT(Table1[[#This Row],[Order Date]],"mmm")</f>
        <v>Nov</v>
      </c>
      <c r="D495" s="4" t="str">
        <f>TEXT(Table1[[#This Row],[Order Date]],"yyyy")</f>
        <v>2024</v>
      </c>
      <c r="E495" t="s">
        <v>25</v>
      </c>
      <c r="F495" t="s">
        <v>12</v>
      </c>
      <c r="G495" t="s">
        <v>83</v>
      </c>
      <c r="H495" t="s">
        <v>14</v>
      </c>
      <c r="I495">
        <v>1</v>
      </c>
      <c r="J495" s="2">
        <v>17.989999999999998</v>
      </c>
      <c r="K495" s="2">
        <v>17.989999999999998</v>
      </c>
      <c r="L495">
        <v>5</v>
      </c>
      <c r="M495" t="str">
        <f>IF(Table1[[#This Row],[Customer Rating]]&gt;=3,"Good","Average")</f>
        <v>Good</v>
      </c>
    </row>
    <row r="496" spans="1:13" x14ac:dyDescent="0.25">
      <c r="A496" t="s">
        <v>546</v>
      </c>
      <c r="B496" s="4">
        <v>45652</v>
      </c>
      <c r="C496" s="4" t="str">
        <f>TEXT(Table1[[#This Row],[Order Date]],"mmm")</f>
        <v>Dec</v>
      </c>
      <c r="D496" s="4" t="str">
        <f>TEXT(Table1[[#This Row],[Order Date]],"yyyy")</f>
        <v>2024</v>
      </c>
      <c r="E496" t="s">
        <v>11</v>
      </c>
      <c r="F496" t="s">
        <v>17</v>
      </c>
      <c r="G496" t="s">
        <v>50</v>
      </c>
      <c r="H496" t="s">
        <v>14</v>
      </c>
      <c r="I496">
        <v>1</v>
      </c>
      <c r="J496" s="2">
        <v>22.99</v>
      </c>
      <c r="K496" s="2">
        <v>22.99</v>
      </c>
      <c r="L496">
        <v>5</v>
      </c>
      <c r="M496" t="str">
        <f>IF(Table1[[#This Row],[Customer Rating]]&gt;=3,"Good","Average")</f>
        <v>Good</v>
      </c>
    </row>
    <row r="497" spans="1:13" x14ac:dyDescent="0.25">
      <c r="A497" t="s">
        <v>547</v>
      </c>
      <c r="B497" s="4">
        <v>45818</v>
      </c>
      <c r="C497" s="4" t="str">
        <f>TEXT(Table1[[#This Row],[Order Date]],"mmm")</f>
        <v>Jun</v>
      </c>
      <c r="D497" s="4" t="str">
        <f>TEXT(Table1[[#This Row],[Order Date]],"yyyy")</f>
        <v>2025</v>
      </c>
      <c r="E497" t="s">
        <v>97</v>
      </c>
      <c r="F497" t="s">
        <v>12</v>
      </c>
      <c r="G497" t="s">
        <v>79</v>
      </c>
      <c r="H497" t="s">
        <v>67</v>
      </c>
      <c r="I497">
        <v>1</v>
      </c>
      <c r="J497" s="2">
        <v>10.99</v>
      </c>
      <c r="K497" s="2">
        <v>10.99</v>
      </c>
      <c r="L497">
        <v>4</v>
      </c>
      <c r="M497" t="str">
        <f>IF(Table1[[#This Row],[Customer Rating]]&gt;=3,"Good","Average")</f>
        <v>Good</v>
      </c>
    </row>
    <row r="498" spans="1:13" x14ac:dyDescent="0.25">
      <c r="A498" t="s">
        <v>548</v>
      </c>
      <c r="B498" s="4">
        <v>45978</v>
      </c>
      <c r="C498" s="4" t="str">
        <f>TEXT(Table1[[#This Row],[Order Date]],"mmm")</f>
        <v>Nov</v>
      </c>
      <c r="D498" s="4" t="str">
        <f>TEXT(Table1[[#This Row],[Order Date]],"yyyy")</f>
        <v>2025</v>
      </c>
      <c r="E498" t="s">
        <v>45</v>
      </c>
      <c r="F498" t="s">
        <v>12</v>
      </c>
      <c r="G498" t="s">
        <v>74</v>
      </c>
      <c r="H498" t="s">
        <v>14</v>
      </c>
      <c r="I498">
        <v>1</v>
      </c>
      <c r="J498" s="2">
        <v>14.99</v>
      </c>
      <c r="K498" s="2">
        <v>14.99</v>
      </c>
      <c r="L498">
        <v>4</v>
      </c>
      <c r="M498" t="str">
        <f>IF(Table1[[#This Row],[Customer Rating]]&gt;=3,"Good","Average")</f>
        <v>Good</v>
      </c>
    </row>
    <row r="499" spans="1:13" x14ac:dyDescent="0.25">
      <c r="A499" t="s">
        <v>549</v>
      </c>
      <c r="B499" s="4">
        <v>45640</v>
      </c>
      <c r="C499" s="4" t="str">
        <f>TEXT(Table1[[#This Row],[Order Date]],"mmm")</f>
        <v>Dec</v>
      </c>
      <c r="D499" s="4" t="str">
        <f>TEXT(Table1[[#This Row],[Order Date]],"yyyy")</f>
        <v>2024</v>
      </c>
      <c r="E499" t="s">
        <v>38</v>
      </c>
      <c r="F499" t="s">
        <v>29</v>
      </c>
      <c r="G499" t="s">
        <v>36</v>
      </c>
      <c r="H499" t="s">
        <v>14</v>
      </c>
      <c r="I499">
        <v>1</v>
      </c>
      <c r="J499" s="2">
        <v>16.989999999999998</v>
      </c>
      <c r="K499" s="2">
        <v>16.989999999999998</v>
      </c>
      <c r="L499">
        <v>4</v>
      </c>
      <c r="M499" t="str">
        <f>IF(Table1[[#This Row],[Customer Rating]]&gt;=3,"Good","Average")</f>
        <v>Good</v>
      </c>
    </row>
    <row r="500" spans="1:13" x14ac:dyDescent="0.25">
      <c r="A500" t="s">
        <v>550</v>
      </c>
      <c r="B500" s="4">
        <v>45646</v>
      </c>
      <c r="C500" s="4" t="str">
        <f>TEXT(Table1[[#This Row],[Order Date]],"mmm")</f>
        <v>Dec</v>
      </c>
      <c r="D500" s="4" t="str">
        <f>TEXT(Table1[[#This Row],[Order Date]],"yyyy")</f>
        <v>2024</v>
      </c>
      <c r="E500" t="s">
        <v>11</v>
      </c>
      <c r="F500" t="s">
        <v>12</v>
      </c>
      <c r="G500" t="s">
        <v>142</v>
      </c>
      <c r="H500" t="s">
        <v>23</v>
      </c>
      <c r="I500">
        <v>2</v>
      </c>
      <c r="J500" s="2">
        <v>14.99</v>
      </c>
      <c r="K500" s="2">
        <v>29.98</v>
      </c>
      <c r="L500">
        <v>5</v>
      </c>
      <c r="M500" t="str">
        <f>IF(Table1[[#This Row],[Customer Rating]]&gt;=3,"Good","Average")</f>
        <v>Good</v>
      </c>
    </row>
    <row r="501" spans="1:13" x14ac:dyDescent="0.25">
      <c r="A501" t="s">
        <v>551</v>
      </c>
      <c r="B501" s="4">
        <v>45809</v>
      </c>
      <c r="C501" s="4" t="str">
        <f>TEXT(Table1[[#This Row],[Order Date]],"mmm")</f>
        <v>Jun</v>
      </c>
      <c r="D501" s="4" t="str">
        <f>TEXT(Table1[[#This Row],[Order Date]],"yyyy")</f>
        <v>2025</v>
      </c>
      <c r="E501" t="s">
        <v>16</v>
      </c>
      <c r="F501" t="s">
        <v>29</v>
      </c>
      <c r="G501" t="s">
        <v>57</v>
      </c>
      <c r="H501" t="s">
        <v>14</v>
      </c>
      <c r="I501">
        <v>1</v>
      </c>
      <c r="J501" s="2">
        <v>15.99</v>
      </c>
      <c r="K501" s="2">
        <v>15.99</v>
      </c>
      <c r="L501">
        <v>5</v>
      </c>
      <c r="M501" t="str">
        <f>IF(Table1[[#This Row],[Customer Rating]]&gt;=3,"Good","Average")</f>
        <v>Good</v>
      </c>
    </row>
    <row r="502" spans="1:13" x14ac:dyDescent="0.25">
      <c r="A502" t="s">
        <v>552</v>
      </c>
      <c r="B502" s="4">
        <v>45898</v>
      </c>
      <c r="C502" s="4" t="str">
        <f>TEXT(Table1[[#This Row],[Order Date]],"mmm")</f>
        <v>Aug</v>
      </c>
      <c r="D502" s="4" t="str">
        <f>TEXT(Table1[[#This Row],[Order Date]],"yyyy")</f>
        <v>2025</v>
      </c>
      <c r="E502" t="s">
        <v>21</v>
      </c>
      <c r="F502" t="s">
        <v>17</v>
      </c>
      <c r="G502" t="s">
        <v>26</v>
      </c>
      <c r="H502" t="s">
        <v>19</v>
      </c>
      <c r="I502">
        <v>4</v>
      </c>
      <c r="J502" s="2">
        <v>3.49</v>
      </c>
      <c r="K502" s="2">
        <v>13.96</v>
      </c>
      <c r="L502">
        <v>5</v>
      </c>
      <c r="M502" t="str">
        <f>IF(Table1[[#This Row],[Customer Rating]]&gt;=3,"Good","Average")</f>
        <v>Good</v>
      </c>
    </row>
    <row r="503" spans="1:13" x14ac:dyDescent="0.25">
      <c r="A503" t="s">
        <v>553</v>
      </c>
      <c r="B503" s="4">
        <v>45928</v>
      </c>
      <c r="C503" s="4" t="str">
        <f>TEXT(Table1[[#This Row],[Order Date]],"mmm")</f>
        <v>Sep</v>
      </c>
      <c r="D503" s="4" t="str">
        <f>TEXT(Table1[[#This Row],[Order Date]],"yyyy")</f>
        <v>2025</v>
      </c>
      <c r="E503" t="s">
        <v>38</v>
      </c>
      <c r="F503" t="s">
        <v>29</v>
      </c>
      <c r="G503" t="s">
        <v>26</v>
      </c>
      <c r="H503" t="s">
        <v>19</v>
      </c>
      <c r="I503">
        <v>1</v>
      </c>
      <c r="J503" s="2">
        <v>3.49</v>
      </c>
      <c r="K503" s="2">
        <v>3.49</v>
      </c>
      <c r="L503">
        <v>4</v>
      </c>
      <c r="M503" t="str">
        <f>IF(Table1[[#This Row],[Customer Rating]]&gt;=3,"Good","Average")</f>
        <v>Good</v>
      </c>
    </row>
    <row r="504" spans="1:13" x14ac:dyDescent="0.25">
      <c r="A504" t="s">
        <v>554</v>
      </c>
      <c r="B504" s="4">
        <v>45922</v>
      </c>
      <c r="C504" s="4" t="str">
        <f>TEXT(Table1[[#This Row],[Order Date]],"mmm")</f>
        <v>Sep</v>
      </c>
      <c r="D504" s="4" t="str">
        <f>TEXT(Table1[[#This Row],[Order Date]],"yyyy")</f>
        <v>2025</v>
      </c>
      <c r="E504" t="s">
        <v>11</v>
      </c>
      <c r="F504" t="s">
        <v>17</v>
      </c>
      <c r="G504" t="s">
        <v>69</v>
      </c>
      <c r="H504" t="s">
        <v>67</v>
      </c>
      <c r="I504">
        <v>2</v>
      </c>
      <c r="J504" s="2">
        <v>8.99</v>
      </c>
      <c r="K504" s="2">
        <v>17.98</v>
      </c>
      <c r="L504">
        <v>3</v>
      </c>
      <c r="M504" t="str">
        <f>IF(Table1[[#This Row],[Customer Rating]]&gt;=3,"Good","Average")</f>
        <v>Good</v>
      </c>
    </row>
    <row r="505" spans="1:13" x14ac:dyDescent="0.25">
      <c r="A505" t="s">
        <v>555</v>
      </c>
      <c r="B505" s="4">
        <v>45549</v>
      </c>
      <c r="C505" s="4" t="str">
        <f>TEXT(Table1[[#This Row],[Order Date]],"mmm")</f>
        <v>Sep</v>
      </c>
      <c r="D505" s="4" t="str">
        <f>TEXT(Table1[[#This Row],[Order Date]],"yyyy")</f>
        <v>2024</v>
      </c>
      <c r="E505" t="s">
        <v>32</v>
      </c>
      <c r="F505" t="s">
        <v>12</v>
      </c>
      <c r="G505" t="s">
        <v>50</v>
      </c>
      <c r="H505" t="s">
        <v>14</v>
      </c>
      <c r="I505">
        <v>1</v>
      </c>
      <c r="J505" s="2">
        <v>22.99</v>
      </c>
      <c r="K505" s="2">
        <v>22.99</v>
      </c>
      <c r="L505">
        <v>5</v>
      </c>
      <c r="M505" t="str">
        <f>IF(Table1[[#This Row],[Customer Rating]]&gt;=3,"Good","Average")</f>
        <v>Good</v>
      </c>
    </row>
    <row r="506" spans="1:13" x14ac:dyDescent="0.25">
      <c r="A506" t="s">
        <v>556</v>
      </c>
      <c r="B506" s="4">
        <v>45606</v>
      </c>
      <c r="C506" s="4" t="str">
        <f>TEXT(Table1[[#This Row],[Order Date]],"mmm")</f>
        <v>Nov</v>
      </c>
      <c r="D506" s="4" t="str">
        <f>TEXT(Table1[[#This Row],[Order Date]],"yyyy")</f>
        <v>2024</v>
      </c>
      <c r="E506" t="s">
        <v>25</v>
      </c>
      <c r="F506" t="s">
        <v>12</v>
      </c>
      <c r="G506" t="s">
        <v>112</v>
      </c>
      <c r="H506" t="s">
        <v>19</v>
      </c>
      <c r="I506">
        <v>1</v>
      </c>
      <c r="J506" s="2">
        <v>5.99</v>
      </c>
      <c r="K506" s="2">
        <v>5.99</v>
      </c>
      <c r="L506">
        <v>4</v>
      </c>
      <c r="M506" t="str">
        <f>IF(Table1[[#This Row],[Customer Rating]]&gt;=3,"Good","Average")</f>
        <v>Good</v>
      </c>
    </row>
    <row r="507" spans="1:13" x14ac:dyDescent="0.25">
      <c r="A507" t="s">
        <v>557</v>
      </c>
      <c r="B507" s="4">
        <v>45344</v>
      </c>
      <c r="C507" s="4" t="str">
        <f>TEXT(Table1[[#This Row],[Order Date]],"mmm")</f>
        <v>Feb</v>
      </c>
      <c r="D507" s="4" t="str">
        <f>TEXT(Table1[[#This Row],[Order Date]],"yyyy")</f>
        <v>2024</v>
      </c>
      <c r="E507" t="s">
        <v>34</v>
      </c>
      <c r="F507" t="s">
        <v>17</v>
      </c>
      <c r="G507" t="s">
        <v>142</v>
      </c>
      <c r="H507" t="s">
        <v>23</v>
      </c>
      <c r="I507">
        <v>1</v>
      </c>
      <c r="J507" s="2">
        <v>14.99</v>
      </c>
      <c r="K507" s="2">
        <v>14.99</v>
      </c>
      <c r="L507">
        <v>5</v>
      </c>
      <c r="M507" t="str">
        <f>IF(Table1[[#This Row],[Customer Rating]]&gt;=3,"Good","Average")</f>
        <v>Good</v>
      </c>
    </row>
    <row r="508" spans="1:13" x14ac:dyDescent="0.25">
      <c r="A508" t="s">
        <v>558</v>
      </c>
      <c r="B508" s="4">
        <v>45311</v>
      </c>
      <c r="C508" s="4" t="str">
        <f>TEXT(Table1[[#This Row],[Order Date]],"mmm")</f>
        <v>Jan</v>
      </c>
      <c r="D508" s="4" t="str">
        <f>TEXT(Table1[[#This Row],[Order Date]],"yyyy")</f>
        <v>2024</v>
      </c>
      <c r="E508" t="s">
        <v>32</v>
      </c>
      <c r="F508" t="s">
        <v>12</v>
      </c>
      <c r="G508" t="s">
        <v>66</v>
      </c>
      <c r="H508" t="s">
        <v>67</v>
      </c>
      <c r="I508">
        <v>2</v>
      </c>
      <c r="J508" s="2">
        <v>7.99</v>
      </c>
      <c r="K508" s="2">
        <v>15.98</v>
      </c>
      <c r="L508">
        <v>4</v>
      </c>
      <c r="M508" t="str">
        <f>IF(Table1[[#This Row],[Customer Rating]]&gt;=3,"Good","Average")</f>
        <v>Good</v>
      </c>
    </row>
    <row r="509" spans="1:13" x14ac:dyDescent="0.25">
      <c r="A509" t="s">
        <v>559</v>
      </c>
      <c r="B509" s="4">
        <v>45797</v>
      </c>
      <c r="C509" s="4" t="str">
        <f>TEXT(Table1[[#This Row],[Order Date]],"mmm")</f>
        <v>May</v>
      </c>
      <c r="D509" s="4" t="str">
        <f>TEXT(Table1[[#This Row],[Order Date]],"yyyy")</f>
        <v>2025</v>
      </c>
      <c r="E509" t="s">
        <v>34</v>
      </c>
      <c r="F509" t="s">
        <v>29</v>
      </c>
      <c r="G509" t="s">
        <v>26</v>
      </c>
      <c r="H509" t="s">
        <v>19</v>
      </c>
      <c r="I509">
        <v>2</v>
      </c>
      <c r="J509" s="2">
        <v>3.49</v>
      </c>
      <c r="K509" s="2">
        <v>6.98</v>
      </c>
      <c r="L509">
        <v>4</v>
      </c>
      <c r="M509" t="str">
        <f>IF(Table1[[#This Row],[Customer Rating]]&gt;=3,"Good","Average")</f>
        <v>Good</v>
      </c>
    </row>
    <row r="510" spans="1:13" x14ac:dyDescent="0.25">
      <c r="A510" t="s">
        <v>560</v>
      </c>
      <c r="B510" s="4">
        <v>45882</v>
      </c>
      <c r="C510" s="4" t="str">
        <f>TEXT(Table1[[#This Row],[Order Date]],"mmm")</f>
        <v>Aug</v>
      </c>
      <c r="D510" s="4" t="str">
        <f>TEXT(Table1[[#This Row],[Order Date]],"yyyy")</f>
        <v>2025</v>
      </c>
      <c r="E510" t="s">
        <v>32</v>
      </c>
      <c r="F510" t="s">
        <v>12</v>
      </c>
      <c r="G510" t="s">
        <v>112</v>
      </c>
      <c r="H510" t="s">
        <v>19</v>
      </c>
      <c r="I510">
        <v>2</v>
      </c>
      <c r="J510" s="2">
        <v>5.99</v>
      </c>
      <c r="K510" s="2">
        <v>11.98</v>
      </c>
      <c r="L510">
        <v>5</v>
      </c>
      <c r="M510" t="str">
        <f>IF(Table1[[#This Row],[Customer Rating]]&gt;=3,"Good","Average")</f>
        <v>Good</v>
      </c>
    </row>
    <row r="511" spans="1:13" x14ac:dyDescent="0.25">
      <c r="A511" t="s">
        <v>561</v>
      </c>
      <c r="B511" s="4">
        <v>45584</v>
      </c>
      <c r="C511" s="4" t="str">
        <f>TEXT(Table1[[#This Row],[Order Date]],"mmm")</f>
        <v>Oct</v>
      </c>
      <c r="D511" s="4" t="str">
        <f>TEXT(Table1[[#This Row],[Order Date]],"yyyy")</f>
        <v>2024</v>
      </c>
      <c r="E511" t="s">
        <v>25</v>
      </c>
      <c r="F511" t="s">
        <v>12</v>
      </c>
      <c r="G511" t="s">
        <v>30</v>
      </c>
      <c r="H511" t="s">
        <v>19</v>
      </c>
      <c r="I511">
        <v>1</v>
      </c>
      <c r="J511" s="2">
        <v>7.99</v>
      </c>
      <c r="K511" s="2">
        <v>7.99</v>
      </c>
      <c r="L511">
        <v>4</v>
      </c>
      <c r="M511" t="str">
        <f>IF(Table1[[#This Row],[Customer Rating]]&gt;=3,"Good","Average")</f>
        <v>Good</v>
      </c>
    </row>
    <row r="512" spans="1:13" x14ac:dyDescent="0.25">
      <c r="A512" t="s">
        <v>562</v>
      </c>
      <c r="B512" s="4">
        <v>45612</v>
      </c>
      <c r="C512" s="4" t="str">
        <f>TEXT(Table1[[#This Row],[Order Date]],"mmm")</f>
        <v>Nov</v>
      </c>
      <c r="D512" s="4" t="str">
        <f>TEXT(Table1[[#This Row],[Order Date]],"yyyy")</f>
        <v>2024</v>
      </c>
      <c r="E512" t="s">
        <v>45</v>
      </c>
      <c r="F512" t="s">
        <v>17</v>
      </c>
      <c r="G512" t="s">
        <v>39</v>
      </c>
      <c r="H512" t="s">
        <v>14</v>
      </c>
      <c r="I512">
        <v>2</v>
      </c>
      <c r="J512" s="2">
        <v>24.99</v>
      </c>
      <c r="K512" s="2">
        <v>49.98</v>
      </c>
      <c r="L512">
        <v>3</v>
      </c>
      <c r="M512" t="str">
        <f>IF(Table1[[#This Row],[Customer Rating]]&gt;=3,"Good","Average")</f>
        <v>Good</v>
      </c>
    </row>
    <row r="513" spans="1:13" x14ac:dyDescent="0.25">
      <c r="A513" t="s">
        <v>563</v>
      </c>
      <c r="B513" s="4">
        <v>45424</v>
      </c>
      <c r="C513" s="4" t="str">
        <f>TEXT(Table1[[#This Row],[Order Date]],"mmm")</f>
        <v>May</v>
      </c>
      <c r="D513" s="4" t="str">
        <f>TEXT(Table1[[#This Row],[Order Date]],"yyyy")</f>
        <v>2024</v>
      </c>
      <c r="E513" t="s">
        <v>28</v>
      </c>
      <c r="F513" t="s">
        <v>17</v>
      </c>
      <c r="G513" t="s">
        <v>46</v>
      </c>
      <c r="H513" t="s">
        <v>14</v>
      </c>
      <c r="I513">
        <v>2</v>
      </c>
      <c r="J513" s="2">
        <v>32.99</v>
      </c>
      <c r="K513" s="2">
        <v>65.98</v>
      </c>
      <c r="L513">
        <v>4</v>
      </c>
      <c r="M513" t="str">
        <f>IF(Table1[[#This Row],[Customer Rating]]&gt;=3,"Good","Average")</f>
        <v>Good</v>
      </c>
    </row>
    <row r="514" spans="1:13" x14ac:dyDescent="0.25">
      <c r="A514" t="s">
        <v>564</v>
      </c>
      <c r="B514" s="4">
        <v>45644</v>
      </c>
      <c r="C514" s="4" t="str">
        <f>TEXT(Table1[[#This Row],[Order Date]],"mmm")</f>
        <v>Dec</v>
      </c>
      <c r="D514" s="4" t="str">
        <f>TEXT(Table1[[#This Row],[Order Date]],"yyyy")</f>
        <v>2024</v>
      </c>
      <c r="E514" t="s">
        <v>34</v>
      </c>
      <c r="F514" t="s">
        <v>17</v>
      </c>
      <c r="G514" t="s">
        <v>79</v>
      </c>
      <c r="H514" t="s">
        <v>67</v>
      </c>
      <c r="I514">
        <v>4</v>
      </c>
      <c r="J514" s="2">
        <v>10.99</v>
      </c>
      <c r="K514" s="2">
        <v>43.96</v>
      </c>
      <c r="L514">
        <v>5</v>
      </c>
      <c r="M514" t="str">
        <f>IF(Table1[[#This Row],[Customer Rating]]&gt;=3,"Good","Average")</f>
        <v>Good</v>
      </c>
    </row>
    <row r="515" spans="1:13" x14ac:dyDescent="0.25">
      <c r="A515" t="s">
        <v>565</v>
      </c>
      <c r="B515" s="4">
        <v>45508</v>
      </c>
      <c r="C515" s="4" t="str">
        <f>TEXT(Table1[[#This Row],[Order Date]],"mmm")</f>
        <v>Aug</v>
      </c>
      <c r="D515" s="4" t="str">
        <f>TEXT(Table1[[#This Row],[Order Date]],"yyyy")</f>
        <v>2024</v>
      </c>
      <c r="E515" t="s">
        <v>45</v>
      </c>
      <c r="F515" t="s">
        <v>29</v>
      </c>
      <c r="G515" t="s">
        <v>46</v>
      </c>
      <c r="H515" t="s">
        <v>14</v>
      </c>
      <c r="I515">
        <v>1</v>
      </c>
      <c r="J515" s="2">
        <v>32.99</v>
      </c>
      <c r="K515" s="2">
        <v>32.99</v>
      </c>
      <c r="L515">
        <v>5</v>
      </c>
      <c r="M515" t="str">
        <f>IF(Table1[[#This Row],[Customer Rating]]&gt;=3,"Good","Average")</f>
        <v>Good</v>
      </c>
    </row>
    <row r="516" spans="1:13" x14ac:dyDescent="0.25">
      <c r="A516" t="s">
        <v>566</v>
      </c>
      <c r="B516" s="4">
        <v>45742</v>
      </c>
      <c r="C516" s="4" t="str">
        <f>TEXT(Table1[[#This Row],[Order Date]],"mmm")</f>
        <v>Mar</v>
      </c>
      <c r="D516" s="4" t="str">
        <f>TEXT(Table1[[#This Row],[Order Date]],"yyyy")</f>
        <v>2025</v>
      </c>
      <c r="E516" t="s">
        <v>34</v>
      </c>
      <c r="F516" t="s">
        <v>12</v>
      </c>
      <c r="G516" t="s">
        <v>55</v>
      </c>
      <c r="H516" t="s">
        <v>23</v>
      </c>
      <c r="I516">
        <v>1</v>
      </c>
      <c r="J516" s="2">
        <v>10.99</v>
      </c>
      <c r="K516" s="2">
        <v>10.99</v>
      </c>
      <c r="L516">
        <v>4</v>
      </c>
      <c r="M516" t="str">
        <f>IF(Table1[[#This Row],[Customer Rating]]&gt;=3,"Good","Average")</f>
        <v>Good</v>
      </c>
    </row>
    <row r="517" spans="1:13" x14ac:dyDescent="0.25">
      <c r="A517" t="s">
        <v>567</v>
      </c>
      <c r="B517" s="4">
        <v>45417</v>
      </c>
      <c r="C517" s="4" t="str">
        <f>TEXT(Table1[[#This Row],[Order Date]],"mmm")</f>
        <v>May</v>
      </c>
      <c r="D517" s="4" t="str">
        <f>TEXT(Table1[[#This Row],[Order Date]],"yyyy")</f>
        <v>2024</v>
      </c>
      <c r="E517" t="s">
        <v>32</v>
      </c>
      <c r="F517" t="s">
        <v>29</v>
      </c>
      <c r="G517" t="s">
        <v>74</v>
      </c>
      <c r="H517" t="s">
        <v>14</v>
      </c>
      <c r="I517">
        <v>1</v>
      </c>
      <c r="J517" s="2">
        <v>14.99</v>
      </c>
      <c r="K517" s="2">
        <v>14.99</v>
      </c>
      <c r="L517">
        <v>2</v>
      </c>
      <c r="M517" t="str">
        <f>IF(Table1[[#This Row],[Customer Rating]]&gt;=3,"Good","Average")</f>
        <v>Average</v>
      </c>
    </row>
    <row r="518" spans="1:13" x14ac:dyDescent="0.25">
      <c r="A518" t="s">
        <v>568</v>
      </c>
      <c r="B518" s="4">
        <v>45373</v>
      </c>
      <c r="C518" s="4" t="str">
        <f>TEXT(Table1[[#This Row],[Order Date]],"mmm")</f>
        <v>Mar</v>
      </c>
      <c r="D518" s="4" t="str">
        <f>TEXT(Table1[[#This Row],[Order Date]],"yyyy")</f>
        <v>2024</v>
      </c>
      <c r="E518" t="s">
        <v>11</v>
      </c>
      <c r="F518" t="s">
        <v>17</v>
      </c>
      <c r="G518" t="s">
        <v>142</v>
      </c>
      <c r="H518" t="s">
        <v>23</v>
      </c>
      <c r="I518">
        <v>1</v>
      </c>
      <c r="J518" s="2">
        <v>14.99</v>
      </c>
      <c r="K518" s="2">
        <v>14.99</v>
      </c>
      <c r="L518">
        <v>4</v>
      </c>
      <c r="M518" t="str">
        <f>IF(Table1[[#This Row],[Customer Rating]]&gt;=3,"Good","Average")</f>
        <v>Good</v>
      </c>
    </row>
    <row r="519" spans="1:13" x14ac:dyDescent="0.25">
      <c r="A519" t="s">
        <v>569</v>
      </c>
      <c r="B519" s="4">
        <v>45781</v>
      </c>
      <c r="C519" s="4" t="str">
        <f>TEXT(Table1[[#This Row],[Order Date]],"mmm")</f>
        <v>May</v>
      </c>
      <c r="D519" s="4" t="str">
        <f>TEXT(Table1[[#This Row],[Order Date]],"yyyy")</f>
        <v>2025</v>
      </c>
      <c r="E519" t="s">
        <v>34</v>
      </c>
      <c r="F519" t="s">
        <v>29</v>
      </c>
      <c r="G519" t="s">
        <v>36</v>
      </c>
      <c r="H519" t="s">
        <v>14</v>
      </c>
      <c r="I519">
        <v>1</v>
      </c>
      <c r="J519" s="2">
        <v>16.989999999999998</v>
      </c>
      <c r="K519" s="2">
        <v>16.989999999999998</v>
      </c>
      <c r="L519">
        <v>2</v>
      </c>
      <c r="M519" t="str">
        <f>IF(Table1[[#This Row],[Customer Rating]]&gt;=3,"Good","Average")</f>
        <v>Average</v>
      </c>
    </row>
    <row r="520" spans="1:13" x14ac:dyDescent="0.25">
      <c r="A520" t="s">
        <v>570</v>
      </c>
      <c r="B520" s="4">
        <v>45503</v>
      </c>
      <c r="C520" s="4" t="str">
        <f>TEXT(Table1[[#This Row],[Order Date]],"mmm")</f>
        <v>Jul</v>
      </c>
      <c r="D520" s="4" t="str">
        <f>TEXT(Table1[[#This Row],[Order Date]],"yyyy")</f>
        <v>2024</v>
      </c>
      <c r="E520" t="s">
        <v>28</v>
      </c>
      <c r="F520" t="s">
        <v>17</v>
      </c>
      <c r="G520" t="s">
        <v>43</v>
      </c>
      <c r="H520" t="s">
        <v>23</v>
      </c>
      <c r="I520">
        <v>3</v>
      </c>
      <c r="J520" s="2">
        <v>11.99</v>
      </c>
      <c r="K520" s="2">
        <v>35.97</v>
      </c>
      <c r="L520">
        <v>4</v>
      </c>
      <c r="M520" t="str">
        <f>IF(Table1[[#This Row],[Customer Rating]]&gt;=3,"Good","Average")</f>
        <v>Good</v>
      </c>
    </row>
    <row r="521" spans="1:13" x14ac:dyDescent="0.25">
      <c r="A521" t="s">
        <v>571</v>
      </c>
      <c r="B521" s="4">
        <v>45487</v>
      </c>
      <c r="C521" s="4" t="str">
        <f>TEXT(Table1[[#This Row],[Order Date]],"mmm")</f>
        <v>Jul</v>
      </c>
      <c r="D521" s="4" t="str">
        <f>TEXT(Table1[[#This Row],[Order Date]],"yyyy")</f>
        <v>2024</v>
      </c>
      <c r="E521" t="s">
        <v>38</v>
      </c>
      <c r="F521" t="s">
        <v>12</v>
      </c>
      <c r="G521" t="s">
        <v>57</v>
      </c>
      <c r="H521" t="s">
        <v>14</v>
      </c>
      <c r="I521">
        <v>2</v>
      </c>
      <c r="J521" s="2">
        <v>15.99</v>
      </c>
      <c r="K521" s="2">
        <v>31.98</v>
      </c>
      <c r="L521">
        <v>3</v>
      </c>
      <c r="M521" t="str">
        <f>IF(Table1[[#This Row],[Customer Rating]]&gt;=3,"Good","Average")</f>
        <v>Good</v>
      </c>
    </row>
    <row r="522" spans="1:13" x14ac:dyDescent="0.25">
      <c r="A522" t="s">
        <v>572</v>
      </c>
      <c r="B522" s="4">
        <v>45568</v>
      </c>
      <c r="C522" s="4" t="str">
        <f>TEXT(Table1[[#This Row],[Order Date]],"mmm")</f>
        <v>Oct</v>
      </c>
      <c r="D522" s="4" t="str">
        <f>TEXT(Table1[[#This Row],[Order Date]],"yyyy")</f>
        <v>2024</v>
      </c>
      <c r="E522" t="s">
        <v>11</v>
      </c>
      <c r="F522" t="s">
        <v>17</v>
      </c>
      <c r="G522" t="s">
        <v>62</v>
      </c>
      <c r="H522" t="s">
        <v>23</v>
      </c>
      <c r="I522">
        <v>1</v>
      </c>
      <c r="J522" s="2">
        <v>9.99</v>
      </c>
      <c r="K522" s="2">
        <v>9.99</v>
      </c>
      <c r="L522">
        <v>4</v>
      </c>
      <c r="M522" t="str">
        <f>IF(Table1[[#This Row],[Customer Rating]]&gt;=3,"Good","Average")</f>
        <v>Good</v>
      </c>
    </row>
    <row r="523" spans="1:13" x14ac:dyDescent="0.25">
      <c r="A523" t="s">
        <v>573</v>
      </c>
      <c r="B523" s="4">
        <v>45490</v>
      </c>
      <c r="C523" s="4" t="str">
        <f>TEXT(Table1[[#This Row],[Order Date]],"mmm")</f>
        <v>Jul</v>
      </c>
      <c r="D523" s="4" t="str">
        <f>TEXT(Table1[[#This Row],[Order Date]],"yyyy")</f>
        <v>2024</v>
      </c>
      <c r="E523" t="s">
        <v>11</v>
      </c>
      <c r="F523" t="s">
        <v>29</v>
      </c>
      <c r="G523" t="s">
        <v>74</v>
      </c>
      <c r="H523" t="s">
        <v>14</v>
      </c>
      <c r="I523">
        <v>3</v>
      </c>
      <c r="J523" s="2">
        <v>14.99</v>
      </c>
      <c r="K523" s="2">
        <v>44.97</v>
      </c>
      <c r="L523">
        <v>4</v>
      </c>
      <c r="M523" t="str">
        <f>IF(Table1[[#This Row],[Customer Rating]]&gt;=3,"Good","Average")</f>
        <v>Good</v>
      </c>
    </row>
    <row r="524" spans="1:13" x14ac:dyDescent="0.25">
      <c r="A524" t="s">
        <v>574</v>
      </c>
      <c r="B524" s="4">
        <v>45843</v>
      </c>
      <c r="C524" s="4" t="str">
        <f>TEXT(Table1[[#This Row],[Order Date]],"mmm")</f>
        <v>Jul</v>
      </c>
      <c r="D524" s="4" t="str">
        <f>TEXT(Table1[[#This Row],[Order Date]],"yyyy")</f>
        <v>2025</v>
      </c>
      <c r="E524" t="s">
        <v>32</v>
      </c>
      <c r="F524" t="s">
        <v>29</v>
      </c>
      <c r="G524" t="s">
        <v>66</v>
      </c>
      <c r="H524" t="s">
        <v>67</v>
      </c>
      <c r="I524">
        <v>1</v>
      </c>
      <c r="J524" s="2">
        <v>7.99</v>
      </c>
      <c r="K524" s="2">
        <v>7.99</v>
      </c>
      <c r="L524">
        <v>3</v>
      </c>
      <c r="M524" t="str">
        <f>IF(Table1[[#This Row],[Customer Rating]]&gt;=3,"Good","Average")</f>
        <v>Good</v>
      </c>
    </row>
    <row r="525" spans="1:13" x14ac:dyDescent="0.25">
      <c r="A525" t="s">
        <v>575</v>
      </c>
      <c r="B525" s="4">
        <v>45325</v>
      </c>
      <c r="C525" s="4" t="str">
        <f>TEXT(Table1[[#This Row],[Order Date]],"mmm")</f>
        <v>Feb</v>
      </c>
      <c r="D525" s="4" t="str">
        <f>TEXT(Table1[[#This Row],[Order Date]],"yyyy")</f>
        <v>2024</v>
      </c>
      <c r="E525" t="s">
        <v>38</v>
      </c>
      <c r="F525" t="s">
        <v>17</v>
      </c>
      <c r="G525" t="s">
        <v>176</v>
      </c>
      <c r="H525" t="s">
        <v>67</v>
      </c>
      <c r="I525">
        <v>1</v>
      </c>
      <c r="J525" s="2">
        <v>11.99</v>
      </c>
      <c r="K525" s="2">
        <v>11.99</v>
      </c>
      <c r="L525">
        <v>4</v>
      </c>
      <c r="M525" t="str">
        <f>IF(Table1[[#This Row],[Customer Rating]]&gt;=3,"Good","Average")</f>
        <v>Good</v>
      </c>
    </row>
    <row r="526" spans="1:13" x14ac:dyDescent="0.25">
      <c r="A526" t="s">
        <v>576</v>
      </c>
      <c r="B526" s="4">
        <v>45430</v>
      </c>
      <c r="C526" s="4" t="str">
        <f>TEXT(Table1[[#This Row],[Order Date]],"mmm")</f>
        <v>May</v>
      </c>
      <c r="D526" s="4" t="str">
        <f>TEXT(Table1[[#This Row],[Order Date]],"yyyy")</f>
        <v>2024</v>
      </c>
      <c r="E526" t="s">
        <v>32</v>
      </c>
      <c r="F526" t="s">
        <v>17</v>
      </c>
      <c r="G526" t="s">
        <v>36</v>
      </c>
      <c r="H526" t="s">
        <v>14</v>
      </c>
      <c r="I526">
        <v>3</v>
      </c>
      <c r="J526" s="2">
        <v>16.989999999999998</v>
      </c>
      <c r="K526" s="2">
        <v>50.97</v>
      </c>
      <c r="L526">
        <v>4</v>
      </c>
      <c r="M526" t="str">
        <f>IF(Table1[[#This Row],[Customer Rating]]&gt;=3,"Good","Average")</f>
        <v>Good</v>
      </c>
    </row>
    <row r="527" spans="1:13" x14ac:dyDescent="0.25">
      <c r="A527" t="s">
        <v>577</v>
      </c>
      <c r="B527" s="4">
        <v>45717</v>
      </c>
      <c r="C527" s="4" t="str">
        <f>TEXT(Table1[[#This Row],[Order Date]],"mmm")</f>
        <v>Mar</v>
      </c>
      <c r="D527" s="4" t="str">
        <f>TEXT(Table1[[#This Row],[Order Date]],"yyyy")</f>
        <v>2025</v>
      </c>
      <c r="E527" t="s">
        <v>28</v>
      </c>
      <c r="F527" t="s">
        <v>12</v>
      </c>
      <c r="G527" t="s">
        <v>46</v>
      </c>
      <c r="H527" t="s">
        <v>14</v>
      </c>
      <c r="I527">
        <v>1</v>
      </c>
      <c r="J527" s="2">
        <v>32.99</v>
      </c>
      <c r="K527" s="2">
        <v>32.99</v>
      </c>
      <c r="L527">
        <v>3</v>
      </c>
      <c r="M527" t="str">
        <f>IF(Table1[[#This Row],[Customer Rating]]&gt;=3,"Good","Average")</f>
        <v>Good</v>
      </c>
    </row>
    <row r="528" spans="1:13" x14ac:dyDescent="0.25">
      <c r="A528" t="s">
        <v>578</v>
      </c>
      <c r="B528" s="4">
        <v>45536</v>
      </c>
      <c r="C528" s="4" t="str">
        <f>TEXT(Table1[[#This Row],[Order Date]],"mmm")</f>
        <v>Sep</v>
      </c>
      <c r="D528" s="4" t="str">
        <f>TEXT(Table1[[#This Row],[Order Date]],"yyyy")</f>
        <v>2024</v>
      </c>
      <c r="E528" t="s">
        <v>32</v>
      </c>
      <c r="F528" t="s">
        <v>12</v>
      </c>
      <c r="G528" t="s">
        <v>83</v>
      </c>
      <c r="H528" t="s">
        <v>14</v>
      </c>
      <c r="I528">
        <v>2</v>
      </c>
      <c r="J528" s="2">
        <v>17.989999999999998</v>
      </c>
      <c r="K528" s="2">
        <v>35.979999999999997</v>
      </c>
      <c r="L528">
        <v>3</v>
      </c>
      <c r="M528" t="str">
        <f>IF(Table1[[#This Row],[Customer Rating]]&gt;=3,"Good","Average")</f>
        <v>Good</v>
      </c>
    </row>
    <row r="529" spans="1:13" x14ac:dyDescent="0.25">
      <c r="A529" t="s">
        <v>579</v>
      </c>
      <c r="B529" s="4">
        <v>45552</v>
      </c>
      <c r="C529" s="4" t="str">
        <f>TEXT(Table1[[#This Row],[Order Date]],"mmm")</f>
        <v>Sep</v>
      </c>
      <c r="D529" s="4" t="str">
        <f>TEXT(Table1[[#This Row],[Order Date]],"yyyy")</f>
        <v>2024</v>
      </c>
      <c r="E529" t="s">
        <v>16</v>
      </c>
      <c r="F529" t="s">
        <v>29</v>
      </c>
      <c r="G529" t="s">
        <v>50</v>
      </c>
      <c r="H529" t="s">
        <v>14</v>
      </c>
      <c r="I529">
        <v>1</v>
      </c>
      <c r="J529" s="2">
        <v>22.99</v>
      </c>
      <c r="K529" s="2">
        <v>22.99</v>
      </c>
      <c r="L529">
        <v>1</v>
      </c>
      <c r="M529" t="str">
        <f>IF(Table1[[#This Row],[Customer Rating]]&gt;=3,"Good","Average")</f>
        <v>Average</v>
      </c>
    </row>
    <row r="530" spans="1:13" x14ac:dyDescent="0.25">
      <c r="A530" t="s">
        <v>580</v>
      </c>
      <c r="B530" s="4">
        <v>45362</v>
      </c>
      <c r="C530" s="4" t="str">
        <f>TEXT(Table1[[#This Row],[Order Date]],"mmm")</f>
        <v>Mar</v>
      </c>
      <c r="D530" s="4" t="str">
        <f>TEXT(Table1[[#This Row],[Order Date]],"yyyy")</f>
        <v>2024</v>
      </c>
      <c r="E530" t="s">
        <v>16</v>
      </c>
      <c r="F530" t="s">
        <v>29</v>
      </c>
      <c r="G530" t="s">
        <v>50</v>
      </c>
      <c r="H530" t="s">
        <v>14</v>
      </c>
      <c r="I530">
        <v>4</v>
      </c>
      <c r="J530" s="2">
        <v>22.99</v>
      </c>
      <c r="K530" s="2">
        <v>91.96</v>
      </c>
      <c r="L530">
        <v>4</v>
      </c>
      <c r="M530" t="str">
        <f>IF(Table1[[#This Row],[Customer Rating]]&gt;=3,"Good","Average")</f>
        <v>Good</v>
      </c>
    </row>
    <row r="531" spans="1:13" x14ac:dyDescent="0.25">
      <c r="A531" t="s">
        <v>581</v>
      </c>
      <c r="B531" s="4">
        <v>45710</v>
      </c>
      <c r="C531" s="4" t="str">
        <f>TEXT(Table1[[#This Row],[Order Date]],"mmm")</f>
        <v>Feb</v>
      </c>
      <c r="D531" s="4" t="str">
        <f>TEXT(Table1[[#This Row],[Order Date]],"yyyy")</f>
        <v>2025</v>
      </c>
      <c r="E531" t="s">
        <v>16</v>
      </c>
      <c r="F531" t="s">
        <v>17</v>
      </c>
      <c r="G531" t="s">
        <v>57</v>
      </c>
      <c r="H531" t="s">
        <v>14</v>
      </c>
      <c r="I531">
        <v>1</v>
      </c>
      <c r="J531" s="2">
        <v>15.99</v>
      </c>
      <c r="K531" s="2">
        <v>15.99</v>
      </c>
      <c r="L531">
        <v>5</v>
      </c>
      <c r="M531" t="str">
        <f>IF(Table1[[#This Row],[Customer Rating]]&gt;=3,"Good","Average")</f>
        <v>Good</v>
      </c>
    </row>
    <row r="532" spans="1:13" x14ac:dyDescent="0.25">
      <c r="A532" t="s">
        <v>582</v>
      </c>
      <c r="B532" s="4">
        <v>46018</v>
      </c>
      <c r="C532" s="4" t="str">
        <f>TEXT(Table1[[#This Row],[Order Date]],"mmm")</f>
        <v>Dec</v>
      </c>
      <c r="D532" s="4" t="str">
        <f>TEXT(Table1[[#This Row],[Order Date]],"yyyy")</f>
        <v>2025</v>
      </c>
      <c r="E532" t="s">
        <v>11</v>
      </c>
      <c r="F532" t="s">
        <v>29</v>
      </c>
      <c r="G532" t="s">
        <v>39</v>
      </c>
      <c r="H532" t="s">
        <v>14</v>
      </c>
      <c r="I532">
        <v>1</v>
      </c>
      <c r="J532" s="2">
        <v>24.99</v>
      </c>
      <c r="K532" s="2">
        <v>24.99</v>
      </c>
      <c r="L532">
        <v>4</v>
      </c>
      <c r="M532" t="str">
        <f>IF(Table1[[#This Row],[Customer Rating]]&gt;=3,"Good","Average")</f>
        <v>Good</v>
      </c>
    </row>
    <row r="533" spans="1:13" x14ac:dyDescent="0.25">
      <c r="A533" t="s">
        <v>583</v>
      </c>
      <c r="B533" s="4">
        <v>45695</v>
      </c>
      <c r="C533" s="4" t="str">
        <f>TEXT(Table1[[#This Row],[Order Date]],"mmm")</f>
        <v>Feb</v>
      </c>
      <c r="D533" s="4" t="str">
        <f>TEXT(Table1[[#This Row],[Order Date]],"yyyy")</f>
        <v>2025</v>
      </c>
      <c r="E533" t="s">
        <v>97</v>
      </c>
      <c r="F533" t="s">
        <v>29</v>
      </c>
      <c r="G533" t="s">
        <v>52</v>
      </c>
      <c r="H533" t="s">
        <v>19</v>
      </c>
      <c r="I533">
        <v>1</v>
      </c>
      <c r="J533" s="2">
        <v>6.99</v>
      </c>
      <c r="K533" s="2">
        <v>6.99</v>
      </c>
      <c r="L533">
        <v>4</v>
      </c>
      <c r="M533" t="str">
        <f>IF(Table1[[#This Row],[Customer Rating]]&gt;=3,"Good","Average")</f>
        <v>Good</v>
      </c>
    </row>
    <row r="534" spans="1:13" x14ac:dyDescent="0.25">
      <c r="A534" t="s">
        <v>584</v>
      </c>
      <c r="B534" s="4">
        <v>45330</v>
      </c>
      <c r="C534" s="4" t="str">
        <f>TEXT(Table1[[#This Row],[Order Date]],"mmm")</f>
        <v>Feb</v>
      </c>
      <c r="D534" s="4" t="str">
        <f>TEXT(Table1[[#This Row],[Order Date]],"yyyy")</f>
        <v>2024</v>
      </c>
      <c r="E534" t="s">
        <v>32</v>
      </c>
      <c r="F534" t="s">
        <v>12</v>
      </c>
      <c r="G534" t="s">
        <v>112</v>
      </c>
      <c r="H534" t="s">
        <v>19</v>
      </c>
      <c r="I534">
        <v>1</v>
      </c>
      <c r="J534" s="2">
        <v>5.99</v>
      </c>
      <c r="K534" s="2">
        <v>5.99</v>
      </c>
      <c r="L534">
        <v>3</v>
      </c>
      <c r="M534" t="str">
        <f>IF(Table1[[#This Row],[Customer Rating]]&gt;=3,"Good","Average")</f>
        <v>Good</v>
      </c>
    </row>
    <row r="535" spans="1:13" x14ac:dyDescent="0.25">
      <c r="A535" t="s">
        <v>585</v>
      </c>
      <c r="B535" s="4">
        <v>45858</v>
      </c>
      <c r="C535" s="4" t="str">
        <f>TEXT(Table1[[#This Row],[Order Date]],"mmm")</f>
        <v>Jul</v>
      </c>
      <c r="D535" s="4" t="str">
        <f>TEXT(Table1[[#This Row],[Order Date]],"yyyy")</f>
        <v>2025</v>
      </c>
      <c r="E535" t="s">
        <v>28</v>
      </c>
      <c r="F535" t="s">
        <v>17</v>
      </c>
      <c r="G535" t="s">
        <v>112</v>
      </c>
      <c r="H535" t="s">
        <v>19</v>
      </c>
      <c r="I535">
        <v>2</v>
      </c>
      <c r="J535" s="2">
        <v>5.99</v>
      </c>
      <c r="K535" s="2">
        <v>11.98</v>
      </c>
      <c r="L535">
        <v>5</v>
      </c>
      <c r="M535" t="str">
        <f>IF(Table1[[#This Row],[Customer Rating]]&gt;=3,"Good","Average")</f>
        <v>Good</v>
      </c>
    </row>
    <row r="536" spans="1:13" x14ac:dyDescent="0.25">
      <c r="A536" t="s">
        <v>586</v>
      </c>
      <c r="B536" s="4">
        <v>45468</v>
      </c>
      <c r="C536" s="4" t="str">
        <f>TEXT(Table1[[#This Row],[Order Date]],"mmm")</f>
        <v>Jun</v>
      </c>
      <c r="D536" s="4" t="str">
        <f>TEXT(Table1[[#This Row],[Order Date]],"yyyy")</f>
        <v>2024</v>
      </c>
      <c r="E536" t="s">
        <v>11</v>
      </c>
      <c r="F536" t="s">
        <v>29</v>
      </c>
      <c r="G536" t="s">
        <v>30</v>
      </c>
      <c r="H536" t="s">
        <v>19</v>
      </c>
      <c r="I536">
        <v>1</v>
      </c>
      <c r="J536" s="2">
        <v>7.99</v>
      </c>
      <c r="K536" s="2">
        <v>7.99</v>
      </c>
      <c r="L536">
        <v>1</v>
      </c>
      <c r="M536" t="str">
        <f>IF(Table1[[#This Row],[Customer Rating]]&gt;=3,"Good","Average")</f>
        <v>Average</v>
      </c>
    </row>
    <row r="537" spans="1:13" x14ac:dyDescent="0.25">
      <c r="A537" t="s">
        <v>587</v>
      </c>
      <c r="B537" s="4">
        <v>45440</v>
      </c>
      <c r="C537" s="4" t="str">
        <f>TEXT(Table1[[#This Row],[Order Date]],"mmm")</f>
        <v>May</v>
      </c>
      <c r="D537" s="4" t="str">
        <f>TEXT(Table1[[#This Row],[Order Date]],"yyyy")</f>
        <v>2024</v>
      </c>
      <c r="E537" t="s">
        <v>16</v>
      </c>
      <c r="F537" t="s">
        <v>12</v>
      </c>
      <c r="G537" t="s">
        <v>50</v>
      </c>
      <c r="H537" t="s">
        <v>14</v>
      </c>
      <c r="I537">
        <v>3</v>
      </c>
      <c r="J537" s="2">
        <v>22.99</v>
      </c>
      <c r="K537" s="2">
        <v>68.97</v>
      </c>
      <c r="L537">
        <v>5</v>
      </c>
      <c r="M537" t="str">
        <f>IF(Table1[[#This Row],[Customer Rating]]&gt;=3,"Good","Average")</f>
        <v>Good</v>
      </c>
    </row>
    <row r="538" spans="1:13" x14ac:dyDescent="0.25">
      <c r="A538" t="s">
        <v>588</v>
      </c>
      <c r="B538" s="4">
        <v>45317</v>
      </c>
      <c r="C538" s="4" t="str">
        <f>TEXT(Table1[[#This Row],[Order Date]],"mmm")</f>
        <v>Jan</v>
      </c>
      <c r="D538" s="4" t="str">
        <f>TEXT(Table1[[#This Row],[Order Date]],"yyyy")</f>
        <v>2024</v>
      </c>
      <c r="E538" t="s">
        <v>38</v>
      </c>
      <c r="F538" t="s">
        <v>29</v>
      </c>
      <c r="G538" t="s">
        <v>50</v>
      </c>
      <c r="H538" t="s">
        <v>14</v>
      </c>
      <c r="I538">
        <v>1</v>
      </c>
      <c r="J538" s="2">
        <v>22.99</v>
      </c>
      <c r="K538" s="2">
        <v>22.99</v>
      </c>
      <c r="L538">
        <v>4</v>
      </c>
      <c r="M538" t="str">
        <f>IF(Table1[[#This Row],[Customer Rating]]&gt;=3,"Good","Average")</f>
        <v>Good</v>
      </c>
    </row>
    <row r="539" spans="1:13" x14ac:dyDescent="0.25">
      <c r="A539" t="s">
        <v>589</v>
      </c>
      <c r="B539" s="4">
        <v>45715</v>
      </c>
      <c r="C539" s="4" t="str">
        <f>TEXT(Table1[[#This Row],[Order Date]],"mmm")</f>
        <v>Feb</v>
      </c>
      <c r="D539" s="4" t="str">
        <f>TEXT(Table1[[#This Row],[Order Date]],"yyyy")</f>
        <v>2025</v>
      </c>
      <c r="E539" t="s">
        <v>34</v>
      </c>
      <c r="F539" t="s">
        <v>17</v>
      </c>
      <c r="G539" t="s">
        <v>36</v>
      </c>
      <c r="H539" t="s">
        <v>14</v>
      </c>
      <c r="I539">
        <v>2</v>
      </c>
      <c r="J539" s="2">
        <v>16.989999999999998</v>
      </c>
      <c r="K539" s="2">
        <v>33.979999999999997</v>
      </c>
      <c r="L539">
        <v>5</v>
      </c>
      <c r="M539" t="str">
        <f>IF(Table1[[#This Row],[Customer Rating]]&gt;=3,"Good","Average")</f>
        <v>Good</v>
      </c>
    </row>
    <row r="540" spans="1:13" x14ac:dyDescent="0.25">
      <c r="A540" t="s">
        <v>590</v>
      </c>
      <c r="B540" s="4">
        <v>45767</v>
      </c>
      <c r="C540" s="4" t="str">
        <f>TEXT(Table1[[#This Row],[Order Date]],"mmm")</f>
        <v>Apr</v>
      </c>
      <c r="D540" s="4" t="str">
        <f>TEXT(Table1[[#This Row],[Order Date]],"yyyy")</f>
        <v>2025</v>
      </c>
      <c r="E540" t="s">
        <v>45</v>
      </c>
      <c r="F540" t="s">
        <v>12</v>
      </c>
      <c r="G540" t="s">
        <v>119</v>
      </c>
      <c r="H540" t="s">
        <v>19</v>
      </c>
      <c r="I540">
        <v>1</v>
      </c>
      <c r="J540" s="2">
        <v>4.99</v>
      </c>
      <c r="K540" s="2">
        <v>4.99</v>
      </c>
      <c r="L540">
        <v>4</v>
      </c>
      <c r="M540" t="str">
        <f>IF(Table1[[#This Row],[Customer Rating]]&gt;=3,"Good","Average")</f>
        <v>Good</v>
      </c>
    </row>
    <row r="541" spans="1:13" x14ac:dyDescent="0.25">
      <c r="A541" t="s">
        <v>591</v>
      </c>
      <c r="B541" s="4">
        <v>45490</v>
      </c>
      <c r="C541" s="4" t="str">
        <f>TEXT(Table1[[#This Row],[Order Date]],"mmm")</f>
        <v>Jul</v>
      </c>
      <c r="D541" s="4" t="str">
        <f>TEXT(Table1[[#This Row],[Order Date]],"yyyy")</f>
        <v>2024</v>
      </c>
      <c r="E541" t="s">
        <v>21</v>
      </c>
      <c r="F541" t="s">
        <v>12</v>
      </c>
      <c r="G541" t="s">
        <v>30</v>
      </c>
      <c r="H541" t="s">
        <v>19</v>
      </c>
      <c r="I541">
        <v>3</v>
      </c>
      <c r="J541" s="2">
        <v>7.99</v>
      </c>
      <c r="K541" s="2">
        <v>23.97</v>
      </c>
      <c r="L541">
        <v>3</v>
      </c>
      <c r="M541" t="str">
        <f>IF(Table1[[#This Row],[Customer Rating]]&gt;=3,"Good","Average")</f>
        <v>Good</v>
      </c>
    </row>
    <row r="542" spans="1:13" x14ac:dyDescent="0.25">
      <c r="A542" t="s">
        <v>592</v>
      </c>
      <c r="B542" s="4">
        <v>45298</v>
      </c>
      <c r="C542" s="4" t="str">
        <f>TEXT(Table1[[#This Row],[Order Date]],"mmm")</f>
        <v>Jan</v>
      </c>
      <c r="D542" s="4" t="str">
        <f>TEXT(Table1[[#This Row],[Order Date]],"yyyy")</f>
        <v>2024</v>
      </c>
      <c r="E542" t="s">
        <v>21</v>
      </c>
      <c r="F542" t="s">
        <v>29</v>
      </c>
      <c r="G542" t="s">
        <v>46</v>
      </c>
      <c r="H542" t="s">
        <v>14</v>
      </c>
      <c r="I542">
        <v>2</v>
      </c>
      <c r="J542" s="2">
        <v>32.99</v>
      </c>
      <c r="K542" s="2">
        <v>65.98</v>
      </c>
      <c r="L542">
        <v>2</v>
      </c>
      <c r="M542" t="str">
        <f>IF(Table1[[#This Row],[Customer Rating]]&gt;=3,"Good","Average")</f>
        <v>Average</v>
      </c>
    </row>
    <row r="543" spans="1:13" x14ac:dyDescent="0.25">
      <c r="A543" t="s">
        <v>593</v>
      </c>
      <c r="B543" s="4">
        <v>45879</v>
      </c>
      <c r="C543" s="4" t="str">
        <f>TEXT(Table1[[#This Row],[Order Date]],"mmm")</f>
        <v>Aug</v>
      </c>
      <c r="D543" s="4" t="str">
        <f>TEXT(Table1[[#This Row],[Order Date]],"yyyy")</f>
        <v>2025</v>
      </c>
      <c r="E543" t="s">
        <v>25</v>
      </c>
      <c r="F543" t="s">
        <v>12</v>
      </c>
      <c r="G543" t="s">
        <v>39</v>
      </c>
      <c r="H543" t="s">
        <v>14</v>
      </c>
      <c r="I543">
        <v>2</v>
      </c>
      <c r="J543" s="2">
        <v>24.99</v>
      </c>
      <c r="K543" s="2">
        <v>49.98</v>
      </c>
      <c r="L543">
        <v>4</v>
      </c>
      <c r="M543" t="str">
        <f>IF(Table1[[#This Row],[Customer Rating]]&gt;=3,"Good","Average")</f>
        <v>Good</v>
      </c>
    </row>
    <row r="544" spans="1:13" x14ac:dyDescent="0.25">
      <c r="A544" t="s">
        <v>594</v>
      </c>
      <c r="B544" s="4">
        <v>45979</v>
      </c>
      <c r="C544" s="4" t="str">
        <f>TEXT(Table1[[#This Row],[Order Date]],"mmm")</f>
        <v>Nov</v>
      </c>
      <c r="D544" s="4" t="str">
        <f>TEXT(Table1[[#This Row],[Order Date]],"yyyy")</f>
        <v>2025</v>
      </c>
      <c r="E544" t="s">
        <v>11</v>
      </c>
      <c r="F544" t="s">
        <v>17</v>
      </c>
      <c r="G544" t="s">
        <v>69</v>
      </c>
      <c r="H544" t="s">
        <v>67</v>
      </c>
      <c r="I544">
        <v>4</v>
      </c>
      <c r="J544" s="2">
        <v>8.99</v>
      </c>
      <c r="K544" s="2">
        <v>35.96</v>
      </c>
      <c r="L544">
        <v>5</v>
      </c>
      <c r="M544" t="str">
        <f>IF(Table1[[#This Row],[Customer Rating]]&gt;=3,"Good","Average")</f>
        <v>Good</v>
      </c>
    </row>
    <row r="545" spans="1:13" x14ac:dyDescent="0.25">
      <c r="A545" t="s">
        <v>595</v>
      </c>
      <c r="B545" s="4">
        <v>45470</v>
      </c>
      <c r="C545" s="4" t="str">
        <f>TEXT(Table1[[#This Row],[Order Date]],"mmm")</f>
        <v>Jun</v>
      </c>
      <c r="D545" s="4" t="str">
        <f>TEXT(Table1[[#This Row],[Order Date]],"yyyy")</f>
        <v>2024</v>
      </c>
      <c r="E545" t="s">
        <v>45</v>
      </c>
      <c r="F545" t="s">
        <v>17</v>
      </c>
      <c r="G545" t="s">
        <v>55</v>
      </c>
      <c r="H545" t="s">
        <v>23</v>
      </c>
      <c r="I545">
        <v>2</v>
      </c>
      <c r="J545" s="2">
        <v>10.99</v>
      </c>
      <c r="K545" s="2">
        <v>21.98</v>
      </c>
      <c r="L545">
        <v>4</v>
      </c>
      <c r="M545" t="str">
        <f>IF(Table1[[#This Row],[Customer Rating]]&gt;=3,"Good","Average")</f>
        <v>Good</v>
      </c>
    </row>
    <row r="546" spans="1:13" x14ac:dyDescent="0.25">
      <c r="A546" t="s">
        <v>596</v>
      </c>
      <c r="B546" s="4">
        <v>45521</v>
      </c>
      <c r="C546" s="4" t="str">
        <f>TEXT(Table1[[#This Row],[Order Date]],"mmm")</f>
        <v>Aug</v>
      </c>
      <c r="D546" s="4" t="str">
        <f>TEXT(Table1[[#This Row],[Order Date]],"yyyy")</f>
        <v>2024</v>
      </c>
      <c r="E546" t="s">
        <v>45</v>
      </c>
      <c r="F546" t="s">
        <v>17</v>
      </c>
      <c r="G546" t="s">
        <v>43</v>
      </c>
      <c r="H546" t="s">
        <v>23</v>
      </c>
      <c r="I546">
        <v>1</v>
      </c>
      <c r="J546" s="2">
        <v>11.99</v>
      </c>
      <c r="K546" s="2">
        <v>11.99</v>
      </c>
      <c r="L546">
        <v>5</v>
      </c>
      <c r="M546" t="str">
        <f>IF(Table1[[#This Row],[Customer Rating]]&gt;=3,"Good","Average")</f>
        <v>Good</v>
      </c>
    </row>
    <row r="547" spans="1:13" x14ac:dyDescent="0.25">
      <c r="A547" t="s">
        <v>597</v>
      </c>
      <c r="B547" s="4">
        <v>45999</v>
      </c>
      <c r="C547" s="4" t="str">
        <f>TEXT(Table1[[#This Row],[Order Date]],"mmm")</f>
        <v>Dec</v>
      </c>
      <c r="D547" s="4" t="str">
        <f>TEXT(Table1[[#This Row],[Order Date]],"yyyy")</f>
        <v>2025</v>
      </c>
      <c r="E547" t="s">
        <v>32</v>
      </c>
      <c r="F547" t="s">
        <v>29</v>
      </c>
      <c r="G547" t="s">
        <v>52</v>
      </c>
      <c r="H547" t="s">
        <v>19</v>
      </c>
      <c r="I547">
        <v>1</v>
      </c>
      <c r="J547" s="2">
        <v>6.99</v>
      </c>
      <c r="K547" s="2">
        <v>6.99</v>
      </c>
      <c r="L547">
        <v>5</v>
      </c>
      <c r="M547" t="str">
        <f>IF(Table1[[#This Row],[Customer Rating]]&gt;=3,"Good","Average")</f>
        <v>Good</v>
      </c>
    </row>
    <row r="548" spans="1:13" x14ac:dyDescent="0.25">
      <c r="A548" t="s">
        <v>598</v>
      </c>
      <c r="B548" s="4">
        <v>45934</v>
      </c>
      <c r="C548" s="4" t="str">
        <f>TEXT(Table1[[#This Row],[Order Date]],"mmm")</f>
        <v>Oct</v>
      </c>
      <c r="D548" s="4" t="str">
        <f>TEXT(Table1[[#This Row],[Order Date]],"yyyy")</f>
        <v>2025</v>
      </c>
      <c r="E548" t="s">
        <v>32</v>
      </c>
      <c r="F548" t="s">
        <v>29</v>
      </c>
      <c r="G548" t="s">
        <v>41</v>
      </c>
      <c r="H548" t="s">
        <v>23</v>
      </c>
      <c r="I548">
        <v>2</v>
      </c>
      <c r="J548" s="2">
        <v>12.99</v>
      </c>
      <c r="K548" s="2">
        <v>25.98</v>
      </c>
      <c r="L548">
        <v>5</v>
      </c>
      <c r="M548" t="str">
        <f>IF(Table1[[#This Row],[Customer Rating]]&gt;=3,"Good","Average")</f>
        <v>Good</v>
      </c>
    </row>
    <row r="549" spans="1:13" x14ac:dyDescent="0.25">
      <c r="A549" t="s">
        <v>599</v>
      </c>
      <c r="B549" s="4">
        <v>45513</v>
      </c>
      <c r="C549" s="4" t="str">
        <f>TEXT(Table1[[#This Row],[Order Date]],"mmm")</f>
        <v>Aug</v>
      </c>
      <c r="D549" s="4" t="str">
        <f>TEXT(Table1[[#This Row],[Order Date]],"yyyy")</f>
        <v>2024</v>
      </c>
      <c r="E549" t="s">
        <v>11</v>
      </c>
      <c r="F549" t="s">
        <v>17</v>
      </c>
      <c r="G549" t="s">
        <v>221</v>
      </c>
      <c r="H549" t="s">
        <v>67</v>
      </c>
      <c r="I549">
        <v>1</v>
      </c>
      <c r="J549" s="2">
        <v>9.99</v>
      </c>
      <c r="K549" s="2">
        <v>9.99</v>
      </c>
      <c r="L549">
        <v>5</v>
      </c>
      <c r="M549" t="str">
        <f>IF(Table1[[#This Row],[Customer Rating]]&gt;=3,"Good","Average")</f>
        <v>Good</v>
      </c>
    </row>
    <row r="550" spans="1:13" x14ac:dyDescent="0.25">
      <c r="A550" t="s">
        <v>600</v>
      </c>
      <c r="B550" s="4">
        <v>45328</v>
      </c>
      <c r="C550" s="4" t="str">
        <f>TEXT(Table1[[#This Row],[Order Date]],"mmm")</f>
        <v>Feb</v>
      </c>
      <c r="D550" s="4" t="str">
        <f>TEXT(Table1[[#This Row],[Order Date]],"yyyy")</f>
        <v>2024</v>
      </c>
      <c r="E550" t="s">
        <v>34</v>
      </c>
      <c r="F550" t="s">
        <v>29</v>
      </c>
      <c r="G550" t="s">
        <v>74</v>
      </c>
      <c r="H550" t="s">
        <v>14</v>
      </c>
      <c r="I550">
        <v>1</v>
      </c>
      <c r="J550" s="2">
        <v>14.99</v>
      </c>
      <c r="K550" s="2">
        <v>14.99</v>
      </c>
      <c r="L550">
        <v>5</v>
      </c>
      <c r="M550" t="str">
        <f>IF(Table1[[#This Row],[Customer Rating]]&gt;=3,"Good","Average")</f>
        <v>Good</v>
      </c>
    </row>
    <row r="551" spans="1:13" x14ac:dyDescent="0.25">
      <c r="A551" t="s">
        <v>601</v>
      </c>
      <c r="B551" s="4">
        <v>45865</v>
      </c>
      <c r="C551" s="4" t="str">
        <f>TEXT(Table1[[#This Row],[Order Date]],"mmm")</f>
        <v>Jul</v>
      </c>
      <c r="D551" s="4" t="str">
        <f>TEXT(Table1[[#This Row],[Order Date]],"yyyy")</f>
        <v>2025</v>
      </c>
      <c r="E551" t="s">
        <v>28</v>
      </c>
      <c r="F551" t="s">
        <v>12</v>
      </c>
      <c r="G551" t="s">
        <v>39</v>
      </c>
      <c r="H551" t="s">
        <v>14</v>
      </c>
      <c r="I551">
        <v>1</v>
      </c>
      <c r="J551" s="2">
        <v>24.99</v>
      </c>
      <c r="K551" s="2">
        <v>24.99</v>
      </c>
      <c r="L551">
        <v>3</v>
      </c>
      <c r="M551" t="str">
        <f>IF(Table1[[#This Row],[Customer Rating]]&gt;=3,"Good","Average")</f>
        <v>Good</v>
      </c>
    </row>
    <row r="552" spans="1:13" x14ac:dyDescent="0.25">
      <c r="A552" t="s">
        <v>602</v>
      </c>
      <c r="B552" s="4">
        <v>45960</v>
      </c>
      <c r="C552" s="4" t="str">
        <f>TEXT(Table1[[#This Row],[Order Date]],"mmm")</f>
        <v>Oct</v>
      </c>
      <c r="D552" s="4" t="str">
        <f>TEXT(Table1[[#This Row],[Order Date]],"yyyy")</f>
        <v>2025</v>
      </c>
      <c r="E552" t="s">
        <v>11</v>
      </c>
      <c r="F552" t="s">
        <v>17</v>
      </c>
      <c r="G552" t="s">
        <v>221</v>
      </c>
      <c r="H552" t="s">
        <v>67</v>
      </c>
      <c r="I552">
        <v>4</v>
      </c>
      <c r="J552" s="2">
        <v>9.99</v>
      </c>
      <c r="K552" s="2">
        <v>39.96</v>
      </c>
      <c r="L552">
        <v>3</v>
      </c>
      <c r="M552" t="str">
        <f>IF(Table1[[#This Row],[Customer Rating]]&gt;=3,"Good","Average")</f>
        <v>Good</v>
      </c>
    </row>
    <row r="553" spans="1:13" x14ac:dyDescent="0.25">
      <c r="A553" t="s">
        <v>603</v>
      </c>
      <c r="B553" s="4">
        <v>45636</v>
      </c>
      <c r="C553" s="4" t="str">
        <f>TEXT(Table1[[#This Row],[Order Date]],"mmm")</f>
        <v>Dec</v>
      </c>
      <c r="D553" s="4" t="str">
        <f>TEXT(Table1[[#This Row],[Order Date]],"yyyy")</f>
        <v>2024</v>
      </c>
      <c r="E553" t="s">
        <v>28</v>
      </c>
      <c r="F553" t="s">
        <v>29</v>
      </c>
      <c r="G553" t="s">
        <v>62</v>
      </c>
      <c r="H553" t="s">
        <v>23</v>
      </c>
      <c r="I553">
        <v>2</v>
      </c>
      <c r="J553" s="2">
        <v>9.99</v>
      </c>
      <c r="K553" s="2">
        <v>19.98</v>
      </c>
      <c r="L553">
        <v>5</v>
      </c>
      <c r="M553" t="str">
        <f>IF(Table1[[#This Row],[Customer Rating]]&gt;=3,"Good","Average")</f>
        <v>Good</v>
      </c>
    </row>
    <row r="554" spans="1:13" x14ac:dyDescent="0.25">
      <c r="A554" t="s">
        <v>604</v>
      </c>
      <c r="B554" s="4">
        <v>45460</v>
      </c>
      <c r="C554" s="4" t="str">
        <f>TEXT(Table1[[#This Row],[Order Date]],"mmm")</f>
        <v>Jun</v>
      </c>
      <c r="D554" s="4" t="str">
        <f>TEXT(Table1[[#This Row],[Order Date]],"yyyy")</f>
        <v>2024</v>
      </c>
      <c r="E554" t="s">
        <v>32</v>
      </c>
      <c r="F554" t="s">
        <v>12</v>
      </c>
      <c r="G554" t="s">
        <v>57</v>
      </c>
      <c r="H554" t="s">
        <v>14</v>
      </c>
      <c r="I554">
        <v>1</v>
      </c>
      <c r="J554" s="2">
        <v>15.99</v>
      </c>
      <c r="K554" s="2">
        <v>15.99</v>
      </c>
      <c r="L554">
        <v>4</v>
      </c>
      <c r="M554" t="str">
        <f>IF(Table1[[#This Row],[Customer Rating]]&gt;=3,"Good","Average")</f>
        <v>Good</v>
      </c>
    </row>
    <row r="555" spans="1:13" x14ac:dyDescent="0.25">
      <c r="A555" t="s">
        <v>605</v>
      </c>
      <c r="B555" s="4">
        <v>45486</v>
      </c>
      <c r="C555" s="4" t="str">
        <f>TEXT(Table1[[#This Row],[Order Date]],"mmm")</f>
        <v>Jul</v>
      </c>
      <c r="D555" s="4" t="str">
        <f>TEXT(Table1[[#This Row],[Order Date]],"yyyy")</f>
        <v>2024</v>
      </c>
      <c r="E555" t="s">
        <v>28</v>
      </c>
      <c r="F555" t="s">
        <v>29</v>
      </c>
      <c r="G555" t="s">
        <v>57</v>
      </c>
      <c r="H555" t="s">
        <v>14</v>
      </c>
      <c r="I555">
        <v>3</v>
      </c>
      <c r="J555" s="2">
        <v>15.99</v>
      </c>
      <c r="K555" s="2">
        <v>47.97</v>
      </c>
      <c r="L555">
        <v>4</v>
      </c>
      <c r="M555" t="str">
        <f>IF(Table1[[#This Row],[Customer Rating]]&gt;=3,"Good","Average")</f>
        <v>Good</v>
      </c>
    </row>
    <row r="556" spans="1:13" x14ac:dyDescent="0.25">
      <c r="A556" t="s">
        <v>606</v>
      </c>
      <c r="B556" s="4">
        <v>45480</v>
      </c>
      <c r="C556" s="4" t="str">
        <f>TEXT(Table1[[#This Row],[Order Date]],"mmm")</f>
        <v>Jul</v>
      </c>
      <c r="D556" s="4" t="str">
        <f>TEXT(Table1[[#This Row],[Order Date]],"yyyy")</f>
        <v>2024</v>
      </c>
      <c r="E556" t="s">
        <v>21</v>
      </c>
      <c r="F556" t="s">
        <v>17</v>
      </c>
      <c r="G556" t="s">
        <v>18</v>
      </c>
      <c r="H556" t="s">
        <v>19</v>
      </c>
      <c r="I556">
        <v>3</v>
      </c>
      <c r="J556" s="2">
        <v>9.99</v>
      </c>
      <c r="K556" s="2">
        <v>29.97</v>
      </c>
      <c r="L556">
        <v>4</v>
      </c>
      <c r="M556" t="str">
        <f>IF(Table1[[#This Row],[Customer Rating]]&gt;=3,"Good","Average")</f>
        <v>Good</v>
      </c>
    </row>
    <row r="557" spans="1:13" x14ac:dyDescent="0.25">
      <c r="A557" t="s">
        <v>607</v>
      </c>
      <c r="B557" s="4">
        <v>45403</v>
      </c>
      <c r="C557" s="4" t="str">
        <f>TEXT(Table1[[#This Row],[Order Date]],"mmm")</f>
        <v>Apr</v>
      </c>
      <c r="D557" s="4" t="str">
        <f>TEXT(Table1[[#This Row],[Order Date]],"yyyy")</f>
        <v>2024</v>
      </c>
      <c r="E557" t="s">
        <v>34</v>
      </c>
      <c r="F557" t="s">
        <v>29</v>
      </c>
      <c r="G557" t="s">
        <v>83</v>
      </c>
      <c r="H557" t="s">
        <v>14</v>
      </c>
      <c r="I557">
        <v>1</v>
      </c>
      <c r="J557" s="2">
        <v>17.989999999999998</v>
      </c>
      <c r="K557" s="2">
        <v>17.989999999999998</v>
      </c>
      <c r="L557">
        <v>2</v>
      </c>
      <c r="M557" t="str">
        <f>IF(Table1[[#This Row],[Customer Rating]]&gt;=3,"Good","Average")</f>
        <v>Average</v>
      </c>
    </row>
    <row r="558" spans="1:13" x14ac:dyDescent="0.25">
      <c r="A558" t="s">
        <v>608</v>
      </c>
      <c r="B558" s="4">
        <v>45424</v>
      </c>
      <c r="C558" s="4" t="str">
        <f>TEXT(Table1[[#This Row],[Order Date]],"mmm")</f>
        <v>May</v>
      </c>
      <c r="D558" s="4" t="str">
        <f>TEXT(Table1[[#This Row],[Order Date]],"yyyy")</f>
        <v>2024</v>
      </c>
      <c r="E558" t="s">
        <v>34</v>
      </c>
      <c r="F558" t="s">
        <v>12</v>
      </c>
      <c r="G558" t="s">
        <v>74</v>
      </c>
      <c r="H558" t="s">
        <v>14</v>
      </c>
      <c r="I558">
        <v>3</v>
      </c>
      <c r="J558" s="2">
        <v>14.99</v>
      </c>
      <c r="K558" s="2">
        <v>44.97</v>
      </c>
      <c r="L558">
        <v>3</v>
      </c>
      <c r="M558" t="str">
        <f>IF(Table1[[#This Row],[Customer Rating]]&gt;=3,"Good","Average")</f>
        <v>Good</v>
      </c>
    </row>
    <row r="559" spans="1:13" x14ac:dyDescent="0.25">
      <c r="A559" t="s">
        <v>609</v>
      </c>
      <c r="B559" s="4">
        <v>45438</v>
      </c>
      <c r="C559" s="4" t="str">
        <f>TEXT(Table1[[#This Row],[Order Date]],"mmm")</f>
        <v>May</v>
      </c>
      <c r="D559" s="4" t="str">
        <f>TEXT(Table1[[#This Row],[Order Date]],"yyyy")</f>
        <v>2024</v>
      </c>
      <c r="E559" t="s">
        <v>16</v>
      </c>
      <c r="F559" t="s">
        <v>29</v>
      </c>
      <c r="G559" t="s">
        <v>62</v>
      </c>
      <c r="H559" t="s">
        <v>23</v>
      </c>
      <c r="I559">
        <v>2</v>
      </c>
      <c r="J559" s="2">
        <v>9.99</v>
      </c>
      <c r="K559" s="2">
        <v>19.98</v>
      </c>
      <c r="L559">
        <v>3</v>
      </c>
      <c r="M559" t="str">
        <f>IF(Table1[[#This Row],[Customer Rating]]&gt;=3,"Good","Average")</f>
        <v>Good</v>
      </c>
    </row>
    <row r="560" spans="1:13" x14ac:dyDescent="0.25">
      <c r="A560" t="s">
        <v>610</v>
      </c>
      <c r="B560" s="4">
        <v>45631</v>
      </c>
      <c r="C560" s="4" t="str">
        <f>TEXT(Table1[[#This Row],[Order Date]],"mmm")</f>
        <v>Dec</v>
      </c>
      <c r="D560" s="4" t="str">
        <f>TEXT(Table1[[#This Row],[Order Date]],"yyyy")</f>
        <v>2024</v>
      </c>
      <c r="E560" t="s">
        <v>97</v>
      </c>
      <c r="F560" t="s">
        <v>29</v>
      </c>
      <c r="G560" t="s">
        <v>57</v>
      </c>
      <c r="H560" t="s">
        <v>14</v>
      </c>
      <c r="I560">
        <v>2</v>
      </c>
      <c r="J560" s="2">
        <v>15.99</v>
      </c>
      <c r="K560" s="2">
        <v>31.98</v>
      </c>
      <c r="L560">
        <v>4</v>
      </c>
      <c r="M560" t="str">
        <f>IF(Table1[[#This Row],[Customer Rating]]&gt;=3,"Good","Average")</f>
        <v>Good</v>
      </c>
    </row>
    <row r="561" spans="1:13" x14ac:dyDescent="0.25">
      <c r="A561" t="s">
        <v>611</v>
      </c>
      <c r="B561" s="4">
        <v>45578</v>
      </c>
      <c r="C561" s="4" t="str">
        <f>TEXT(Table1[[#This Row],[Order Date]],"mmm")</f>
        <v>Oct</v>
      </c>
      <c r="D561" s="4" t="str">
        <f>TEXT(Table1[[#This Row],[Order Date]],"yyyy")</f>
        <v>2024</v>
      </c>
      <c r="E561" t="s">
        <v>34</v>
      </c>
      <c r="F561" t="s">
        <v>17</v>
      </c>
      <c r="G561" t="s">
        <v>55</v>
      </c>
      <c r="H561" t="s">
        <v>23</v>
      </c>
      <c r="I561">
        <v>1</v>
      </c>
      <c r="J561" s="2">
        <v>10.99</v>
      </c>
      <c r="K561" s="2">
        <v>10.99</v>
      </c>
      <c r="L561">
        <v>4</v>
      </c>
      <c r="M561" t="str">
        <f>IF(Table1[[#This Row],[Customer Rating]]&gt;=3,"Good","Average")</f>
        <v>Good</v>
      </c>
    </row>
    <row r="562" spans="1:13" x14ac:dyDescent="0.25">
      <c r="A562" t="s">
        <v>612</v>
      </c>
      <c r="B562" s="4">
        <v>45336</v>
      </c>
      <c r="C562" s="4" t="str">
        <f>TEXT(Table1[[#This Row],[Order Date]],"mmm")</f>
        <v>Feb</v>
      </c>
      <c r="D562" s="4" t="str">
        <f>TEXT(Table1[[#This Row],[Order Date]],"yyyy")</f>
        <v>2024</v>
      </c>
      <c r="E562" t="s">
        <v>45</v>
      </c>
      <c r="F562" t="s">
        <v>29</v>
      </c>
      <c r="G562" t="s">
        <v>74</v>
      </c>
      <c r="H562" t="s">
        <v>14</v>
      </c>
      <c r="I562">
        <v>1</v>
      </c>
      <c r="J562" s="2">
        <v>14.99</v>
      </c>
      <c r="K562" s="2">
        <v>14.99</v>
      </c>
      <c r="L562">
        <v>2</v>
      </c>
      <c r="M562" t="str">
        <f>IF(Table1[[#This Row],[Customer Rating]]&gt;=3,"Good","Average")</f>
        <v>Average</v>
      </c>
    </row>
    <row r="563" spans="1:13" x14ac:dyDescent="0.25">
      <c r="A563" t="s">
        <v>613</v>
      </c>
      <c r="B563" s="4">
        <v>45906</v>
      </c>
      <c r="C563" s="4" t="str">
        <f>TEXT(Table1[[#This Row],[Order Date]],"mmm")</f>
        <v>Sep</v>
      </c>
      <c r="D563" s="4" t="str">
        <f>TEXT(Table1[[#This Row],[Order Date]],"yyyy")</f>
        <v>2025</v>
      </c>
      <c r="E563" t="s">
        <v>45</v>
      </c>
      <c r="F563" t="s">
        <v>17</v>
      </c>
      <c r="G563" t="s">
        <v>176</v>
      </c>
      <c r="H563" t="s">
        <v>67</v>
      </c>
      <c r="I563">
        <v>1</v>
      </c>
      <c r="J563" s="2">
        <v>11.99</v>
      </c>
      <c r="K563" s="2">
        <v>11.99</v>
      </c>
      <c r="L563">
        <v>2</v>
      </c>
      <c r="M563" t="str">
        <f>IF(Table1[[#This Row],[Customer Rating]]&gt;=3,"Good","Average")</f>
        <v>Average</v>
      </c>
    </row>
    <row r="564" spans="1:13" x14ac:dyDescent="0.25">
      <c r="A564" t="s">
        <v>614</v>
      </c>
      <c r="B564" s="4">
        <v>46001</v>
      </c>
      <c r="C564" s="4" t="str">
        <f>TEXT(Table1[[#This Row],[Order Date]],"mmm")</f>
        <v>Dec</v>
      </c>
      <c r="D564" s="4" t="str">
        <f>TEXT(Table1[[#This Row],[Order Date]],"yyyy")</f>
        <v>2025</v>
      </c>
      <c r="E564" t="s">
        <v>32</v>
      </c>
      <c r="F564" t="s">
        <v>17</v>
      </c>
      <c r="G564" t="s">
        <v>22</v>
      </c>
      <c r="H564" t="s">
        <v>23</v>
      </c>
      <c r="I564">
        <v>3</v>
      </c>
      <c r="J564" s="2">
        <v>8.99</v>
      </c>
      <c r="K564" s="2">
        <v>26.97</v>
      </c>
      <c r="L564">
        <v>4</v>
      </c>
      <c r="M564" t="str">
        <f>IF(Table1[[#This Row],[Customer Rating]]&gt;=3,"Good","Average")</f>
        <v>Good</v>
      </c>
    </row>
    <row r="565" spans="1:13" x14ac:dyDescent="0.25">
      <c r="A565" t="s">
        <v>615</v>
      </c>
      <c r="B565" s="4">
        <v>45744</v>
      </c>
      <c r="C565" s="4" t="str">
        <f>TEXT(Table1[[#This Row],[Order Date]],"mmm")</f>
        <v>Mar</v>
      </c>
      <c r="D565" s="4" t="str">
        <f>TEXT(Table1[[#This Row],[Order Date]],"yyyy")</f>
        <v>2025</v>
      </c>
      <c r="E565" t="s">
        <v>32</v>
      </c>
      <c r="F565" t="s">
        <v>12</v>
      </c>
      <c r="G565" t="s">
        <v>50</v>
      </c>
      <c r="H565" t="s">
        <v>14</v>
      </c>
      <c r="I565">
        <v>2</v>
      </c>
      <c r="J565" s="2">
        <v>22.99</v>
      </c>
      <c r="K565" s="2">
        <v>45.98</v>
      </c>
      <c r="L565">
        <v>4</v>
      </c>
      <c r="M565" t="str">
        <f>IF(Table1[[#This Row],[Customer Rating]]&gt;=3,"Good","Average")</f>
        <v>Good</v>
      </c>
    </row>
    <row r="566" spans="1:13" x14ac:dyDescent="0.25">
      <c r="A566" t="s">
        <v>616</v>
      </c>
      <c r="B566" s="4">
        <v>45898</v>
      </c>
      <c r="C566" s="4" t="str">
        <f>TEXT(Table1[[#This Row],[Order Date]],"mmm")</f>
        <v>Aug</v>
      </c>
      <c r="D566" s="4" t="str">
        <f>TEXT(Table1[[#This Row],[Order Date]],"yyyy")</f>
        <v>2025</v>
      </c>
      <c r="E566" t="s">
        <v>11</v>
      </c>
      <c r="F566" t="s">
        <v>17</v>
      </c>
      <c r="G566" t="s">
        <v>62</v>
      </c>
      <c r="H566" t="s">
        <v>23</v>
      </c>
      <c r="I566">
        <v>1</v>
      </c>
      <c r="J566" s="2">
        <v>9.99</v>
      </c>
      <c r="K566" s="2">
        <v>9.99</v>
      </c>
      <c r="L566">
        <v>3</v>
      </c>
      <c r="M566" t="str">
        <f>IF(Table1[[#This Row],[Customer Rating]]&gt;=3,"Good","Average")</f>
        <v>Good</v>
      </c>
    </row>
    <row r="567" spans="1:13" x14ac:dyDescent="0.25">
      <c r="A567" t="s">
        <v>617</v>
      </c>
      <c r="B567" s="4">
        <v>45857</v>
      </c>
      <c r="C567" s="4" t="str">
        <f>TEXT(Table1[[#This Row],[Order Date]],"mmm")</f>
        <v>Jul</v>
      </c>
      <c r="D567" s="4" t="str">
        <f>TEXT(Table1[[#This Row],[Order Date]],"yyyy")</f>
        <v>2025</v>
      </c>
      <c r="E567" t="s">
        <v>25</v>
      </c>
      <c r="F567" t="s">
        <v>17</v>
      </c>
      <c r="G567" t="s">
        <v>39</v>
      </c>
      <c r="H567" t="s">
        <v>14</v>
      </c>
      <c r="I567">
        <v>1</v>
      </c>
      <c r="J567" s="2">
        <v>24.99</v>
      </c>
      <c r="K567" s="2">
        <v>24.99</v>
      </c>
      <c r="L567">
        <v>3</v>
      </c>
      <c r="M567" t="str">
        <f>IF(Table1[[#This Row],[Customer Rating]]&gt;=3,"Good","Average")</f>
        <v>Good</v>
      </c>
    </row>
    <row r="568" spans="1:13" x14ac:dyDescent="0.25">
      <c r="A568" t="s">
        <v>618</v>
      </c>
      <c r="B568" s="4">
        <v>45596</v>
      </c>
      <c r="C568" s="4" t="str">
        <f>TEXT(Table1[[#This Row],[Order Date]],"mmm")</f>
        <v>Oct</v>
      </c>
      <c r="D568" s="4" t="str">
        <f>TEXT(Table1[[#This Row],[Order Date]],"yyyy")</f>
        <v>2024</v>
      </c>
      <c r="E568" t="s">
        <v>16</v>
      </c>
      <c r="F568" t="s">
        <v>29</v>
      </c>
      <c r="G568" t="s">
        <v>62</v>
      </c>
      <c r="H568" t="s">
        <v>23</v>
      </c>
      <c r="I568">
        <v>1</v>
      </c>
      <c r="J568" s="2">
        <v>9.99</v>
      </c>
      <c r="K568" s="2">
        <v>9.99</v>
      </c>
      <c r="L568">
        <v>4</v>
      </c>
      <c r="M568" t="str">
        <f>IF(Table1[[#This Row],[Customer Rating]]&gt;=3,"Good","Average")</f>
        <v>Good</v>
      </c>
    </row>
    <row r="569" spans="1:13" x14ac:dyDescent="0.25">
      <c r="A569" t="s">
        <v>619</v>
      </c>
      <c r="B569" s="4">
        <v>45741</v>
      </c>
      <c r="C569" s="4" t="str">
        <f>TEXT(Table1[[#This Row],[Order Date]],"mmm")</f>
        <v>Mar</v>
      </c>
      <c r="D569" s="4" t="str">
        <f>TEXT(Table1[[#This Row],[Order Date]],"yyyy")</f>
        <v>2025</v>
      </c>
      <c r="E569" t="s">
        <v>28</v>
      </c>
      <c r="F569" t="s">
        <v>29</v>
      </c>
      <c r="G569" t="s">
        <v>142</v>
      </c>
      <c r="H569" t="s">
        <v>23</v>
      </c>
      <c r="I569">
        <v>2</v>
      </c>
      <c r="J569" s="2">
        <v>14.99</v>
      </c>
      <c r="K569" s="2">
        <v>29.98</v>
      </c>
      <c r="L569">
        <v>4</v>
      </c>
      <c r="M569" t="str">
        <f>IF(Table1[[#This Row],[Customer Rating]]&gt;=3,"Good","Average")</f>
        <v>Good</v>
      </c>
    </row>
    <row r="570" spans="1:13" x14ac:dyDescent="0.25">
      <c r="A570" t="s">
        <v>620</v>
      </c>
      <c r="B570" s="4">
        <v>45432</v>
      </c>
      <c r="C570" s="4" t="str">
        <f>TEXT(Table1[[#This Row],[Order Date]],"mmm")</f>
        <v>May</v>
      </c>
      <c r="D570" s="4" t="str">
        <f>TEXT(Table1[[#This Row],[Order Date]],"yyyy")</f>
        <v>2024</v>
      </c>
      <c r="E570" t="s">
        <v>21</v>
      </c>
      <c r="F570" t="s">
        <v>29</v>
      </c>
      <c r="G570" t="s">
        <v>57</v>
      </c>
      <c r="H570" t="s">
        <v>14</v>
      </c>
      <c r="I570">
        <v>1</v>
      </c>
      <c r="J570" s="2">
        <v>15.99</v>
      </c>
      <c r="K570" s="2">
        <v>15.99</v>
      </c>
      <c r="L570">
        <v>4</v>
      </c>
      <c r="M570" t="str">
        <f>IF(Table1[[#This Row],[Customer Rating]]&gt;=3,"Good","Average")</f>
        <v>Good</v>
      </c>
    </row>
    <row r="571" spans="1:13" x14ac:dyDescent="0.25">
      <c r="A571" t="s">
        <v>621</v>
      </c>
      <c r="B571" s="4">
        <v>45744</v>
      </c>
      <c r="C571" s="4" t="str">
        <f>TEXT(Table1[[#This Row],[Order Date]],"mmm")</f>
        <v>Mar</v>
      </c>
      <c r="D571" s="4" t="str">
        <f>TEXT(Table1[[#This Row],[Order Date]],"yyyy")</f>
        <v>2025</v>
      </c>
      <c r="E571" t="s">
        <v>21</v>
      </c>
      <c r="F571" t="s">
        <v>29</v>
      </c>
      <c r="G571" t="s">
        <v>43</v>
      </c>
      <c r="H571" t="s">
        <v>23</v>
      </c>
      <c r="I571">
        <v>1</v>
      </c>
      <c r="J571" s="2">
        <v>11.99</v>
      </c>
      <c r="K571" s="2">
        <v>11.99</v>
      </c>
      <c r="L571">
        <v>4</v>
      </c>
      <c r="M571" t="str">
        <f>IF(Table1[[#This Row],[Customer Rating]]&gt;=3,"Good","Average")</f>
        <v>Good</v>
      </c>
    </row>
    <row r="572" spans="1:13" x14ac:dyDescent="0.25">
      <c r="A572" t="s">
        <v>622</v>
      </c>
      <c r="B572" s="4">
        <v>45505</v>
      </c>
      <c r="C572" s="4" t="str">
        <f>TEXT(Table1[[#This Row],[Order Date]],"mmm")</f>
        <v>Aug</v>
      </c>
      <c r="D572" s="4" t="str">
        <f>TEXT(Table1[[#This Row],[Order Date]],"yyyy")</f>
        <v>2024</v>
      </c>
      <c r="E572" t="s">
        <v>32</v>
      </c>
      <c r="F572" t="s">
        <v>12</v>
      </c>
      <c r="G572" t="s">
        <v>79</v>
      </c>
      <c r="H572" t="s">
        <v>67</v>
      </c>
      <c r="I572">
        <v>3</v>
      </c>
      <c r="J572" s="2">
        <v>10.99</v>
      </c>
      <c r="K572" s="2">
        <v>32.97</v>
      </c>
      <c r="L572">
        <v>5</v>
      </c>
      <c r="M572" t="str">
        <f>IF(Table1[[#This Row],[Customer Rating]]&gt;=3,"Good","Average")</f>
        <v>Good</v>
      </c>
    </row>
    <row r="573" spans="1:13" x14ac:dyDescent="0.25">
      <c r="A573" t="s">
        <v>623</v>
      </c>
      <c r="B573" s="4">
        <v>45459</v>
      </c>
      <c r="C573" s="4" t="str">
        <f>TEXT(Table1[[#This Row],[Order Date]],"mmm")</f>
        <v>Jun</v>
      </c>
      <c r="D573" s="4" t="str">
        <f>TEXT(Table1[[#This Row],[Order Date]],"yyyy")</f>
        <v>2024</v>
      </c>
      <c r="E573" t="s">
        <v>21</v>
      </c>
      <c r="F573" t="s">
        <v>12</v>
      </c>
      <c r="G573" t="s">
        <v>13</v>
      </c>
      <c r="H573" t="s">
        <v>14</v>
      </c>
      <c r="I573">
        <v>1</v>
      </c>
      <c r="J573" s="2">
        <v>18.989999999999998</v>
      </c>
      <c r="K573" s="2">
        <v>18.989999999999998</v>
      </c>
      <c r="L573">
        <v>4</v>
      </c>
      <c r="M573" t="str">
        <f>IF(Table1[[#This Row],[Customer Rating]]&gt;=3,"Good","Average")</f>
        <v>Good</v>
      </c>
    </row>
    <row r="574" spans="1:13" x14ac:dyDescent="0.25">
      <c r="A574" t="s">
        <v>624</v>
      </c>
      <c r="B574" s="4">
        <v>45598</v>
      </c>
      <c r="C574" s="4" t="str">
        <f>TEXT(Table1[[#This Row],[Order Date]],"mmm")</f>
        <v>Nov</v>
      </c>
      <c r="D574" s="4" t="str">
        <f>TEXT(Table1[[#This Row],[Order Date]],"yyyy")</f>
        <v>2024</v>
      </c>
      <c r="E574" t="s">
        <v>21</v>
      </c>
      <c r="F574" t="s">
        <v>29</v>
      </c>
      <c r="G574" t="s">
        <v>79</v>
      </c>
      <c r="H574" t="s">
        <v>67</v>
      </c>
      <c r="I574">
        <v>2</v>
      </c>
      <c r="J574" s="2">
        <v>10.99</v>
      </c>
      <c r="K574" s="2">
        <v>21.98</v>
      </c>
      <c r="L574">
        <v>5</v>
      </c>
      <c r="M574" t="str">
        <f>IF(Table1[[#This Row],[Customer Rating]]&gt;=3,"Good","Average")</f>
        <v>Good</v>
      </c>
    </row>
    <row r="575" spans="1:13" x14ac:dyDescent="0.25">
      <c r="A575" t="s">
        <v>625</v>
      </c>
      <c r="B575" s="4">
        <v>45830</v>
      </c>
      <c r="C575" s="4" t="str">
        <f>TEXT(Table1[[#This Row],[Order Date]],"mmm")</f>
        <v>Jun</v>
      </c>
      <c r="D575" s="4" t="str">
        <f>TEXT(Table1[[#This Row],[Order Date]],"yyyy")</f>
        <v>2025</v>
      </c>
      <c r="E575" t="s">
        <v>97</v>
      </c>
      <c r="F575" t="s">
        <v>29</v>
      </c>
      <c r="G575" t="s">
        <v>74</v>
      </c>
      <c r="H575" t="s">
        <v>14</v>
      </c>
      <c r="I575">
        <v>1</v>
      </c>
      <c r="J575" s="2">
        <v>14.99</v>
      </c>
      <c r="K575" s="2">
        <v>14.99</v>
      </c>
      <c r="L575">
        <v>1</v>
      </c>
      <c r="M575" t="str">
        <f>IF(Table1[[#This Row],[Customer Rating]]&gt;=3,"Good","Average")</f>
        <v>Average</v>
      </c>
    </row>
    <row r="576" spans="1:13" x14ac:dyDescent="0.25">
      <c r="A576" t="s">
        <v>626</v>
      </c>
      <c r="B576" s="4">
        <v>45904</v>
      </c>
      <c r="C576" s="4" t="str">
        <f>TEXT(Table1[[#This Row],[Order Date]],"mmm")</f>
        <v>Sep</v>
      </c>
      <c r="D576" s="4" t="str">
        <f>TEXT(Table1[[#This Row],[Order Date]],"yyyy")</f>
        <v>2025</v>
      </c>
      <c r="E576" t="s">
        <v>21</v>
      </c>
      <c r="F576" t="s">
        <v>29</v>
      </c>
      <c r="G576" t="s">
        <v>112</v>
      </c>
      <c r="H576" t="s">
        <v>19</v>
      </c>
      <c r="I576">
        <v>3</v>
      </c>
      <c r="J576" s="2">
        <v>5.99</v>
      </c>
      <c r="K576" s="2">
        <v>17.97</v>
      </c>
      <c r="L576">
        <v>4</v>
      </c>
      <c r="M576" t="str">
        <f>IF(Table1[[#This Row],[Customer Rating]]&gt;=3,"Good","Average")</f>
        <v>Good</v>
      </c>
    </row>
    <row r="577" spans="1:13" x14ac:dyDescent="0.25">
      <c r="A577" t="s">
        <v>627</v>
      </c>
      <c r="B577" s="4">
        <v>45428</v>
      </c>
      <c r="C577" s="4" t="str">
        <f>TEXT(Table1[[#This Row],[Order Date]],"mmm")</f>
        <v>May</v>
      </c>
      <c r="D577" s="4" t="str">
        <f>TEXT(Table1[[#This Row],[Order Date]],"yyyy")</f>
        <v>2024</v>
      </c>
      <c r="E577" t="s">
        <v>28</v>
      </c>
      <c r="F577" t="s">
        <v>12</v>
      </c>
      <c r="G577" t="s">
        <v>39</v>
      </c>
      <c r="H577" t="s">
        <v>14</v>
      </c>
      <c r="I577">
        <v>3</v>
      </c>
      <c r="J577" s="2">
        <v>24.99</v>
      </c>
      <c r="K577" s="2">
        <v>74.97</v>
      </c>
      <c r="L577">
        <v>2</v>
      </c>
      <c r="M577" t="str">
        <f>IF(Table1[[#This Row],[Customer Rating]]&gt;=3,"Good","Average")</f>
        <v>Average</v>
      </c>
    </row>
    <row r="578" spans="1:13" x14ac:dyDescent="0.25">
      <c r="A578" t="s">
        <v>628</v>
      </c>
      <c r="B578" s="4">
        <v>45437</v>
      </c>
      <c r="C578" s="4" t="str">
        <f>TEXT(Table1[[#This Row],[Order Date]],"mmm")</f>
        <v>May</v>
      </c>
      <c r="D578" s="4" t="str">
        <f>TEXT(Table1[[#This Row],[Order Date]],"yyyy")</f>
        <v>2024</v>
      </c>
      <c r="E578" t="s">
        <v>28</v>
      </c>
      <c r="F578" t="s">
        <v>29</v>
      </c>
      <c r="G578" t="s">
        <v>13</v>
      </c>
      <c r="H578" t="s">
        <v>14</v>
      </c>
      <c r="I578">
        <v>1</v>
      </c>
      <c r="J578" s="2">
        <v>18.989999999999998</v>
      </c>
      <c r="K578" s="2">
        <v>18.989999999999998</v>
      </c>
      <c r="L578">
        <v>4</v>
      </c>
      <c r="M578" t="str">
        <f>IF(Table1[[#This Row],[Customer Rating]]&gt;=3,"Good","Average")</f>
        <v>Good</v>
      </c>
    </row>
    <row r="579" spans="1:13" x14ac:dyDescent="0.25">
      <c r="A579" t="s">
        <v>629</v>
      </c>
      <c r="B579" s="4">
        <v>45427</v>
      </c>
      <c r="C579" s="4" t="str">
        <f>TEXT(Table1[[#This Row],[Order Date]],"mmm")</f>
        <v>May</v>
      </c>
      <c r="D579" s="4" t="str">
        <f>TEXT(Table1[[#This Row],[Order Date]],"yyyy")</f>
        <v>2024</v>
      </c>
      <c r="E579" t="s">
        <v>34</v>
      </c>
      <c r="F579" t="s">
        <v>17</v>
      </c>
      <c r="G579" t="s">
        <v>142</v>
      </c>
      <c r="H579" t="s">
        <v>23</v>
      </c>
      <c r="I579">
        <v>1</v>
      </c>
      <c r="J579" s="2">
        <v>14.99</v>
      </c>
      <c r="K579" s="2">
        <v>14.99</v>
      </c>
      <c r="L579">
        <v>4</v>
      </c>
      <c r="M579" t="str">
        <f>IF(Table1[[#This Row],[Customer Rating]]&gt;=3,"Good","Average")</f>
        <v>Good</v>
      </c>
    </row>
    <row r="580" spans="1:13" x14ac:dyDescent="0.25">
      <c r="A580" t="s">
        <v>630</v>
      </c>
      <c r="B580" s="4">
        <v>45956</v>
      </c>
      <c r="C580" s="4" t="str">
        <f>TEXT(Table1[[#This Row],[Order Date]],"mmm")</f>
        <v>Oct</v>
      </c>
      <c r="D580" s="4" t="str">
        <f>TEXT(Table1[[#This Row],[Order Date]],"yyyy")</f>
        <v>2025</v>
      </c>
      <c r="E580" t="s">
        <v>28</v>
      </c>
      <c r="F580" t="s">
        <v>29</v>
      </c>
      <c r="G580" t="s">
        <v>57</v>
      </c>
      <c r="H580" t="s">
        <v>14</v>
      </c>
      <c r="I580">
        <v>1</v>
      </c>
      <c r="J580" s="2">
        <v>15.99</v>
      </c>
      <c r="K580" s="2">
        <v>15.99</v>
      </c>
      <c r="L580">
        <v>2</v>
      </c>
      <c r="M580" t="str">
        <f>IF(Table1[[#This Row],[Customer Rating]]&gt;=3,"Good","Average")</f>
        <v>Average</v>
      </c>
    </row>
    <row r="581" spans="1:13" x14ac:dyDescent="0.25">
      <c r="A581" t="s">
        <v>631</v>
      </c>
      <c r="B581" s="4">
        <v>45792</v>
      </c>
      <c r="C581" s="4" t="str">
        <f>TEXT(Table1[[#This Row],[Order Date]],"mmm")</f>
        <v>May</v>
      </c>
      <c r="D581" s="4" t="str">
        <f>TEXT(Table1[[#This Row],[Order Date]],"yyyy")</f>
        <v>2025</v>
      </c>
      <c r="E581" t="s">
        <v>45</v>
      </c>
      <c r="F581" t="s">
        <v>29</v>
      </c>
      <c r="G581" t="s">
        <v>119</v>
      </c>
      <c r="H581" t="s">
        <v>19</v>
      </c>
      <c r="I581">
        <v>2</v>
      </c>
      <c r="J581" s="2">
        <v>4.99</v>
      </c>
      <c r="K581" s="2">
        <v>9.98</v>
      </c>
      <c r="L581">
        <v>3</v>
      </c>
      <c r="M581" t="str">
        <f>IF(Table1[[#This Row],[Customer Rating]]&gt;=3,"Good","Average")</f>
        <v>Good</v>
      </c>
    </row>
    <row r="582" spans="1:13" x14ac:dyDescent="0.25">
      <c r="A582" t="s">
        <v>632</v>
      </c>
      <c r="B582" s="4">
        <v>45951</v>
      </c>
      <c r="C582" s="4" t="str">
        <f>TEXT(Table1[[#This Row],[Order Date]],"mmm")</f>
        <v>Oct</v>
      </c>
      <c r="D582" s="4" t="str">
        <f>TEXT(Table1[[#This Row],[Order Date]],"yyyy")</f>
        <v>2025</v>
      </c>
      <c r="E582" t="s">
        <v>21</v>
      </c>
      <c r="F582" t="s">
        <v>17</v>
      </c>
      <c r="G582" t="s">
        <v>46</v>
      </c>
      <c r="H582" t="s">
        <v>14</v>
      </c>
      <c r="I582">
        <v>3</v>
      </c>
      <c r="J582" s="2">
        <v>32.99</v>
      </c>
      <c r="K582" s="2">
        <v>98.97</v>
      </c>
      <c r="L582">
        <v>5</v>
      </c>
      <c r="M582" t="str">
        <f>IF(Table1[[#This Row],[Customer Rating]]&gt;=3,"Good","Average")</f>
        <v>Good</v>
      </c>
    </row>
    <row r="583" spans="1:13" x14ac:dyDescent="0.25">
      <c r="A583" t="s">
        <v>633</v>
      </c>
      <c r="B583" s="4">
        <v>45879</v>
      </c>
      <c r="C583" s="4" t="str">
        <f>TEXT(Table1[[#This Row],[Order Date]],"mmm")</f>
        <v>Aug</v>
      </c>
      <c r="D583" s="4" t="str">
        <f>TEXT(Table1[[#This Row],[Order Date]],"yyyy")</f>
        <v>2025</v>
      </c>
      <c r="E583" t="s">
        <v>97</v>
      </c>
      <c r="F583" t="s">
        <v>29</v>
      </c>
      <c r="G583" t="s">
        <v>55</v>
      </c>
      <c r="H583" t="s">
        <v>23</v>
      </c>
      <c r="I583">
        <v>1</v>
      </c>
      <c r="J583" s="2">
        <v>10.99</v>
      </c>
      <c r="K583" s="2">
        <v>10.99</v>
      </c>
      <c r="L583">
        <v>5</v>
      </c>
      <c r="M583" t="str">
        <f>IF(Table1[[#This Row],[Customer Rating]]&gt;=3,"Good","Average")</f>
        <v>Good</v>
      </c>
    </row>
    <row r="584" spans="1:13" x14ac:dyDescent="0.25">
      <c r="A584" t="s">
        <v>634</v>
      </c>
      <c r="B584" s="4">
        <v>45740</v>
      </c>
      <c r="C584" s="4" t="str">
        <f>TEXT(Table1[[#This Row],[Order Date]],"mmm")</f>
        <v>Mar</v>
      </c>
      <c r="D584" s="4" t="str">
        <f>TEXT(Table1[[#This Row],[Order Date]],"yyyy")</f>
        <v>2025</v>
      </c>
      <c r="E584" t="s">
        <v>16</v>
      </c>
      <c r="F584" t="s">
        <v>17</v>
      </c>
      <c r="G584" t="s">
        <v>176</v>
      </c>
      <c r="H584" t="s">
        <v>67</v>
      </c>
      <c r="I584">
        <v>1</v>
      </c>
      <c r="J584" s="2">
        <v>11.99</v>
      </c>
      <c r="K584" s="2">
        <v>11.99</v>
      </c>
      <c r="L584">
        <v>5</v>
      </c>
      <c r="M584" t="str">
        <f>IF(Table1[[#This Row],[Customer Rating]]&gt;=3,"Good","Average")</f>
        <v>Good</v>
      </c>
    </row>
    <row r="585" spans="1:13" x14ac:dyDescent="0.25">
      <c r="A585" t="s">
        <v>635</v>
      </c>
      <c r="B585" s="4">
        <v>45931</v>
      </c>
      <c r="C585" s="4" t="str">
        <f>TEXT(Table1[[#This Row],[Order Date]],"mmm")</f>
        <v>Oct</v>
      </c>
      <c r="D585" s="4" t="str">
        <f>TEXT(Table1[[#This Row],[Order Date]],"yyyy")</f>
        <v>2025</v>
      </c>
      <c r="E585" t="s">
        <v>45</v>
      </c>
      <c r="F585" t="s">
        <v>29</v>
      </c>
      <c r="G585" t="s">
        <v>39</v>
      </c>
      <c r="H585" t="s">
        <v>14</v>
      </c>
      <c r="I585">
        <v>2</v>
      </c>
      <c r="J585" s="2">
        <v>24.99</v>
      </c>
      <c r="K585" s="2">
        <v>49.98</v>
      </c>
      <c r="L585">
        <v>1</v>
      </c>
      <c r="M585" t="str">
        <f>IF(Table1[[#This Row],[Customer Rating]]&gt;=3,"Good","Average")</f>
        <v>Average</v>
      </c>
    </row>
    <row r="586" spans="1:13" x14ac:dyDescent="0.25">
      <c r="A586" t="s">
        <v>636</v>
      </c>
      <c r="B586" s="4">
        <v>45931</v>
      </c>
      <c r="C586" s="4" t="str">
        <f>TEXT(Table1[[#This Row],[Order Date]],"mmm")</f>
        <v>Oct</v>
      </c>
      <c r="D586" s="4" t="str">
        <f>TEXT(Table1[[#This Row],[Order Date]],"yyyy")</f>
        <v>2025</v>
      </c>
      <c r="E586" t="s">
        <v>25</v>
      </c>
      <c r="F586" t="s">
        <v>17</v>
      </c>
      <c r="G586" t="s">
        <v>57</v>
      </c>
      <c r="H586" t="s">
        <v>14</v>
      </c>
      <c r="I586">
        <v>1</v>
      </c>
      <c r="J586" s="2">
        <v>15.99</v>
      </c>
      <c r="K586" s="2">
        <v>15.99</v>
      </c>
      <c r="L586">
        <v>4</v>
      </c>
      <c r="M586" t="str">
        <f>IF(Table1[[#This Row],[Customer Rating]]&gt;=3,"Good","Average")</f>
        <v>Good</v>
      </c>
    </row>
    <row r="587" spans="1:13" x14ac:dyDescent="0.25">
      <c r="A587" t="s">
        <v>637</v>
      </c>
      <c r="B587" s="4">
        <v>45968</v>
      </c>
      <c r="C587" s="4" t="str">
        <f>TEXT(Table1[[#This Row],[Order Date]],"mmm")</f>
        <v>Nov</v>
      </c>
      <c r="D587" s="4" t="str">
        <f>TEXT(Table1[[#This Row],[Order Date]],"yyyy")</f>
        <v>2025</v>
      </c>
      <c r="E587" t="s">
        <v>38</v>
      </c>
      <c r="F587" t="s">
        <v>17</v>
      </c>
      <c r="G587" t="s">
        <v>46</v>
      </c>
      <c r="H587" t="s">
        <v>14</v>
      </c>
      <c r="I587">
        <v>2</v>
      </c>
      <c r="J587" s="2">
        <v>32.99</v>
      </c>
      <c r="K587" s="2">
        <v>65.98</v>
      </c>
      <c r="L587">
        <v>5</v>
      </c>
      <c r="M587" t="str">
        <f>IF(Table1[[#This Row],[Customer Rating]]&gt;=3,"Good","Average")</f>
        <v>Good</v>
      </c>
    </row>
    <row r="588" spans="1:13" x14ac:dyDescent="0.25">
      <c r="A588" t="s">
        <v>638</v>
      </c>
      <c r="B588" s="4">
        <v>45465</v>
      </c>
      <c r="C588" s="4" t="str">
        <f>TEXT(Table1[[#This Row],[Order Date]],"mmm")</f>
        <v>Jun</v>
      </c>
      <c r="D588" s="4" t="str">
        <f>TEXT(Table1[[#This Row],[Order Date]],"yyyy")</f>
        <v>2024</v>
      </c>
      <c r="E588" t="s">
        <v>16</v>
      </c>
      <c r="F588" t="s">
        <v>17</v>
      </c>
      <c r="G588" t="s">
        <v>112</v>
      </c>
      <c r="H588" t="s">
        <v>19</v>
      </c>
      <c r="I588">
        <v>1</v>
      </c>
      <c r="J588" s="2">
        <v>5.99</v>
      </c>
      <c r="K588" s="2">
        <v>5.99</v>
      </c>
      <c r="L588">
        <v>4</v>
      </c>
      <c r="M588" t="str">
        <f>IF(Table1[[#This Row],[Customer Rating]]&gt;=3,"Good","Average")</f>
        <v>Good</v>
      </c>
    </row>
    <row r="589" spans="1:13" x14ac:dyDescent="0.25">
      <c r="A589" t="s">
        <v>639</v>
      </c>
      <c r="B589" s="4">
        <v>45654</v>
      </c>
      <c r="C589" s="4" t="str">
        <f>TEXT(Table1[[#This Row],[Order Date]],"mmm")</f>
        <v>Dec</v>
      </c>
      <c r="D589" s="4" t="str">
        <f>TEXT(Table1[[#This Row],[Order Date]],"yyyy")</f>
        <v>2024</v>
      </c>
      <c r="E589" t="s">
        <v>16</v>
      </c>
      <c r="F589" t="s">
        <v>12</v>
      </c>
      <c r="G589" t="s">
        <v>36</v>
      </c>
      <c r="H589" t="s">
        <v>14</v>
      </c>
      <c r="I589">
        <v>1</v>
      </c>
      <c r="J589" s="2">
        <v>16.989999999999998</v>
      </c>
      <c r="K589" s="2">
        <v>16.989999999999998</v>
      </c>
      <c r="L589">
        <v>4</v>
      </c>
      <c r="M589" t="str">
        <f>IF(Table1[[#This Row],[Customer Rating]]&gt;=3,"Good","Average")</f>
        <v>Good</v>
      </c>
    </row>
    <row r="590" spans="1:13" x14ac:dyDescent="0.25">
      <c r="A590" t="s">
        <v>640</v>
      </c>
      <c r="B590" s="4">
        <v>45907</v>
      </c>
      <c r="C590" s="4" t="str">
        <f>TEXT(Table1[[#This Row],[Order Date]],"mmm")</f>
        <v>Sep</v>
      </c>
      <c r="D590" s="4" t="str">
        <f>TEXT(Table1[[#This Row],[Order Date]],"yyyy")</f>
        <v>2025</v>
      </c>
      <c r="E590" t="s">
        <v>32</v>
      </c>
      <c r="F590" t="s">
        <v>29</v>
      </c>
      <c r="G590" t="s">
        <v>66</v>
      </c>
      <c r="H590" t="s">
        <v>67</v>
      </c>
      <c r="I590">
        <v>4</v>
      </c>
      <c r="J590" s="2">
        <v>7.99</v>
      </c>
      <c r="K590" s="2">
        <v>31.96</v>
      </c>
      <c r="L590">
        <v>5</v>
      </c>
      <c r="M590" t="str">
        <f>IF(Table1[[#This Row],[Customer Rating]]&gt;=3,"Good","Average")</f>
        <v>Good</v>
      </c>
    </row>
    <row r="591" spans="1:13" x14ac:dyDescent="0.25">
      <c r="A591" t="s">
        <v>641</v>
      </c>
      <c r="B591" s="4">
        <v>45388</v>
      </c>
      <c r="C591" s="4" t="str">
        <f>TEXT(Table1[[#This Row],[Order Date]],"mmm")</f>
        <v>Apr</v>
      </c>
      <c r="D591" s="4" t="str">
        <f>TEXT(Table1[[#This Row],[Order Date]],"yyyy")</f>
        <v>2024</v>
      </c>
      <c r="E591" t="s">
        <v>45</v>
      </c>
      <c r="F591" t="s">
        <v>12</v>
      </c>
      <c r="G591" t="s">
        <v>30</v>
      </c>
      <c r="H591" t="s">
        <v>19</v>
      </c>
      <c r="I591">
        <v>3</v>
      </c>
      <c r="J591" s="2">
        <v>7.99</v>
      </c>
      <c r="K591" s="2">
        <v>23.97</v>
      </c>
      <c r="L591">
        <v>4</v>
      </c>
      <c r="M591" t="str">
        <f>IF(Table1[[#This Row],[Customer Rating]]&gt;=3,"Good","Average")</f>
        <v>Good</v>
      </c>
    </row>
    <row r="592" spans="1:13" x14ac:dyDescent="0.25">
      <c r="A592" t="s">
        <v>642</v>
      </c>
      <c r="B592" s="4">
        <v>45739</v>
      </c>
      <c r="C592" s="4" t="str">
        <f>TEXT(Table1[[#This Row],[Order Date]],"mmm")</f>
        <v>Mar</v>
      </c>
      <c r="D592" s="4" t="str">
        <f>TEXT(Table1[[#This Row],[Order Date]],"yyyy")</f>
        <v>2025</v>
      </c>
      <c r="E592" t="s">
        <v>16</v>
      </c>
      <c r="F592" t="s">
        <v>17</v>
      </c>
      <c r="G592" t="s">
        <v>176</v>
      </c>
      <c r="H592" t="s">
        <v>67</v>
      </c>
      <c r="I592">
        <v>2</v>
      </c>
      <c r="J592" s="2">
        <v>11.99</v>
      </c>
      <c r="K592" s="2">
        <v>23.98</v>
      </c>
      <c r="L592">
        <v>4</v>
      </c>
      <c r="M592" t="str">
        <f>IF(Table1[[#This Row],[Customer Rating]]&gt;=3,"Good","Average")</f>
        <v>Good</v>
      </c>
    </row>
    <row r="593" spans="1:13" x14ac:dyDescent="0.25">
      <c r="A593" t="s">
        <v>643</v>
      </c>
      <c r="B593" s="4">
        <v>45496</v>
      </c>
      <c r="C593" s="4" t="str">
        <f>TEXT(Table1[[#This Row],[Order Date]],"mmm")</f>
        <v>Jul</v>
      </c>
      <c r="D593" s="4" t="str">
        <f>TEXT(Table1[[#This Row],[Order Date]],"yyyy")</f>
        <v>2024</v>
      </c>
      <c r="E593" t="s">
        <v>21</v>
      </c>
      <c r="F593" t="s">
        <v>12</v>
      </c>
      <c r="G593" t="s">
        <v>13</v>
      </c>
      <c r="H593" t="s">
        <v>14</v>
      </c>
      <c r="I593">
        <v>3</v>
      </c>
      <c r="J593" s="2">
        <v>18.989999999999998</v>
      </c>
      <c r="K593" s="2">
        <v>56.97</v>
      </c>
      <c r="L593">
        <v>4</v>
      </c>
      <c r="M593" t="str">
        <f>IF(Table1[[#This Row],[Customer Rating]]&gt;=3,"Good","Average")</f>
        <v>Good</v>
      </c>
    </row>
    <row r="594" spans="1:13" x14ac:dyDescent="0.25">
      <c r="A594" t="s">
        <v>644</v>
      </c>
      <c r="B594" s="4">
        <v>45970</v>
      </c>
      <c r="C594" s="4" t="str">
        <f>TEXT(Table1[[#This Row],[Order Date]],"mmm")</f>
        <v>Nov</v>
      </c>
      <c r="D594" s="4" t="str">
        <f>TEXT(Table1[[#This Row],[Order Date]],"yyyy")</f>
        <v>2025</v>
      </c>
      <c r="E594" t="s">
        <v>32</v>
      </c>
      <c r="F594" t="s">
        <v>12</v>
      </c>
      <c r="G594" t="s">
        <v>74</v>
      </c>
      <c r="H594" t="s">
        <v>14</v>
      </c>
      <c r="I594">
        <v>1</v>
      </c>
      <c r="J594" s="2">
        <v>14.99</v>
      </c>
      <c r="K594" s="2">
        <v>14.99</v>
      </c>
      <c r="L594">
        <v>5</v>
      </c>
      <c r="M594" t="str">
        <f>IF(Table1[[#This Row],[Customer Rating]]&gt;=3,"Good","Average")</f>
        <v>Good</v>
      </c>
    </row>
    <row r="595" spans="1:13" x14ac:dyDescent="0.25">
      <c r="A595" t="s">
        <v>645</v>
      </c>
      <c r="B595" s="4">
        <v>45538</v>
      </c>
      <c r="C595" s="4" t="str">
        <f>TEXT(Table1[[#This Row],[Order Date]],"mmm")</f>
        <v>Sep</v>
      </c>
      <c r="D595" s="4" t="str">
        <f>TEXT(Table1[[#This Row],[Order Date]],"yyyy")</f>
        <v>2024</v>
      </c>
      <c r="E595" t="s">
        <v>11</v>
      </c>
      <c r="F595" t="s">
        <v>29</v>
      </c>
      <c r="G595" t="s">
        <v>46</v>
      </c>
      <c r="H595" t="s">
        <v>14</v>
      </c>
      <c r="I595">
        <v>1</v>
      </c>
      <c r="J595" s="2">
        <v>32.99</v>
      </c>
      <c r="K595" s="2">
        <v>32.99</v>
      </c>
      <c r="L595">
        <v>5</v>
      </c>
      <c r="M595" t="str">
        <f>IF(Table1[[#This Row],[Customer Rating]]&gt;=3,"Good","Average")</f>
        <v>Good</v>
      </c>
    </row>
    <row r="596" spans="1:13" x14ac:dyDescent="0.25">
      <c r="A596" t="s">
        <v>646</v>
      </c>
      <c r="B596" s="4">
        <v>45542</v>
      </c>
      <c r="C596" s="4" t="str">
        <f>TEXT(Table1[[#This Row],[Order Date]],"mmm")</f>
        <v>Sep</v>
      </c>
      <c r="D596" s="4" t="str">
        <f>TEXT(Table1[[#This Row],[Order Date]],"yyyy")</f>
        <v>2024</v>
      </c>
      <c r="E596" t="s">
        <v>34</v>
      </c>
      <c r="F596" t="s">
        <v>12</v>
      </c>
      <c r="G596" t="s">
        <v>41</v>
      </c>
      <c r="H596" t="s">
        <v>23</v>
      </c>
      <c r="I596">
        <v>4</v>
      </c>
      <c r="J596" s="2">
        <v>12.99</v>
      </c>
      <c r="K596" s="2">
        <v>51.96</v>
      </c>
      <c r="L596">
        <v>5</v>
      </c>
      <c r="M596" t="str">
        <f>IF(Table1[[#This Row],[Customer Rating]]&gt;=3,"Good","Average")</f>
        <v>Good</v>
      </c>
    </row>
    <row r="597" spans="1:13" x14ac:dyDescent="0.25">
      <c r="A597" t="s">
        <v>647</v>
      </c>
      <c r="B597" s="4">
        <v>45396</v>
      </c>
      <c r="C597" s="4" t="str">
        <f>TEXT(Table1[[#This Row],[Order Date]],"mmm")</f>
        <v>Apr</v>
      </c>
      <c r="D597" s="4" t="str">
        <f>TEXT(Table1[[#This Row],[Order Date]],"yyyy")</f>
        <v>2024</v>
      </c>
      <c r="E597" t="s">
        <v>28</v>
      </c>
      <c r="F597" t="s">
        <v>29</v>
      </c>
      <c r="G597" t="s">
        <v>39</v>
      </c>
      <c r="H597" t="s">
        <v>14</v>
      </c>
      <c r="I597">
        <v>3</v>
      </c>
      <c r="J597" s="2">
        <v>24.99</v>
      </c>
      <c r="K597" s="2">
        <v>74.97</v>
      </c>
      <c r="L597">
        <v>2</v>
      </c>
      <c r="M597" t="str">
        <f>IF(Table1[[#This Row],[Customer Rating]]&gt;=3,"Good","Average")</f>
        <v>Average</v>
      </c>
    </row>
    <row r="598" spans="1:13" x14ac:dyDescent="0.25">
      <c r="A598" t="s">
        <v>648</v>
      </c>
      <c r="B598" s="4">
        <v>45576</v>
      </c>
      <c r="C598" s="4" t="str">
        <f>TEXT(Table1[[#This Row],[Order Date]],"mmm")</f>
        <v>Oct</v>
      </c>
      <c r="D598" s="4" t="str">
        <f>TEXT(Table1[[#This Row],[Order Date]],"yyyy")</f>
        <v>2024</v>
      </c>
      <c r="E598" t="s">
        <v>97</v>
      </c>
      <c r="F598" t="s">
        <v>29</v>
      </c>
      <c r="G598" t="s">
        <v>18</v>
      </c>
      <c r="H598" t="s">
        <v>19</v>
      </c>
      <c r="I598">
        <v>2</v>
      </c>
      <c r="J598" s="2">
        <v>9.99</v>
      </c>
      <c r="K598" s="2">
        <v>19.98</v>
      </c>
      <c r="L598">
        <v>5</v>
      </c>
      <c r="M598" t="str">
        <f>IF(Table1[[#This Row],[Customer Rating]]&gt;=3,"Good","Average")</f>
        <v>Good</v>
      </c>
    </row>
    <row r="599" spans="1:13" x14ac:dyDescent="0.25">
      <c r="A599" t="s">
        <v>649</v>
      </c>
      <c r="B599" s="4">
        <v>45469</v>
      </c>
      <c r="C599" s="4" t="str">
        <f>TEXT(Table1[[#This Row],[Order Date]],"mmm")</f>
        <v>Jun</v>
      </c>
      <c r="D599" s="4" t="str">
        <f>TEXT(Table1[[#This Row],[Order Date]],"yyyy")</f>
        <v>2024</v>
      </c>
      <c r="E599" t="s">
        <v>34</v>
      </c>
      <c r="F599" t="s">
        <v>12</v>
      </c>
      <c r="G599" t="s">
        <v>39</v>
      </c>
      <c r="H599" t="s">
        <v>14</v>
      </c>
      <c r="I599">
        <v>1</v>
      </c>
      <c r="J599" s="2">
        <v>24.99</v>
      </c>
      <c r="K599" s="2">
        <v>24.99</v>
      </c>
      <c r="L599">
        <v>5</v>
      </c>
      <c r="M599" t="str">
        <f>IF(Table1[[#This Row],[Customer Rating]]&gt;=3,"Good","Average")</f>
        <v>Good</v>
      </c>
    </row>
    <row r="600" spans="1:13" x14ac:dyDescent="0.25">
      <c r="A600" t="s">
        <v>650</v>
      </c>
      <c r="B600" s="4">
        <v>45985</v>
      </c>
      <c r="C600" s="4" t="str">
        <f>TEXT(Table1[[#This Row],[Order Date]],"mmm")</f>
        <v>Nov</v>
      </c>
      <c r="D600" s="4" t="str">
        <f>TEXT(Table1[[#This Row],[Order Date]],"yyyy")</f>
        <v>2025</v>
      </c>
      <c r="E600" t="s">
        <v>11</v>
      </c>
      <c r="F600" t="s">
        <v>29</v>
      </c>
      <c r="G600" t="s">
        <v>52</v>
      </c>
      <c r="H600" t="s">
        <v>19</v>
      </c>
      <c r="I600">
        <v>3</v>
      </c>
      <c r="J600" s="2">
        <v>6.99</v>
      </c>
      <c r="K600" s="2">
        <v>20.97</v>
      </c>
      <c r="L600">
        <v>2</v>
      </c>
      <c r="M600" t="str">
        <f>IF(Table1[[#This Row],[Customer Rating]]&gt;=3,"Good","Average")</f>
        <v>Average</v>
      </c>
    </row>
    <row r="601" spans="1:13" x14ac:dyDescent="0.25">
      <c r="A601" t="s">
        <v>651</v>
      </c>
      <c r="B601" s="4">
        <v>45874</v>
      </c>
      <c r="C601" s="4" t="str">
        <f>TEXT(Table1[[#This Row],[Order Date]],"mmm")</f>
        <v>Aug</v>
      </c>
      <c r="D601" s="4" t="str">
        <f>TEXT(Table1[[#This Row],[Order Date]],"yyyy")</f>
        <v>2025</v>
      </c>
      <c r="E601" t="s">
        <v>21</v>
      </c>
      <c r="F601" t="s">
        <v>29</v>
      </c>
      <c r="G601" t="s">
        <v>36</v>
      </c>
      <c r="H601" t="s">
        <v>14</v>
      </c>
      <c r="I601">
        <v>3</v>
      </c>
      <c r="J601" s="2">
        <v>16.989999999999998</v>
      </c>
      <c r="K601" s="2">
        <v>50.97</v>
      </c>
      <c r="L601">
        <v>4</v>
      </c>
      <c r="M601" t="str">
        <f>IF(Table1[[#This Row],[Customer Rating]]&gt;=3,"Good","Average")</f>
        <v>Good</v>
      </c>
    </row>
    <row r="602" spans="1:13" x14ac:dyDescent="0.25">
      <c r="A602" t="s">
        <v>652</v>
      </c>
      <c r="B602" s="4">
        <v>45429</v>
      </c>
      <c r="C602" s="4" t="str">
        <f>TEXT(Table1[[#This Row],[Order Date]],"mmm")</f>
        <v>May</v>
      </c>
      <c r="D602" s="4" t="str">
        <f>TEXT(Table1[[#This Row],[Order Date]],"yyyy")</f>
        <v>2024</v>
      </c>
      <c r="E602" t="s">
        <v>32</v>
      </c>
      <c r="F602" t="s">
        <v>17</v>
      </c>
      <c r="G602" t="s">
        <v>79</v>
      </c>
      <c r="H602" t="s">
        <v>67</v>
      </c>
      <c r="I602">
        <v>3</v>
      </c>
      <c r="J602" s="2">
        <v>10.99</v>
      </c>
      <c r="K602" s="2">
        <v>32.97</v>
      </c>
      <c r="L602">
        <v>5</v>
      </c>
      <c r="M602" t="str">
        <f>IF(Table1[[#This Row],[Customer Rating]]&gt;=3,"Good","Average")</f>
        <v>Good</v>
      </c>
    </row>
    <row r="603" spans="1:13" x14ac:dyDescent="0.25">
      <c r="A603" t="s">
        <v>653</v>
      </c>
      <c r="B603" s="4">
        <v>45930</v>
      </c>
      <c r="C603" s="4" t="str">
        <f>TEXT(Table1[[#This Row],[Order Date]],"mmm")</f>
        <v>Sep</v>
      </c>
      <c r="D603" s="4" t="str">
        <f>TEXT(Table1[[#This Row],[Order Date]],"yyyy")</f>
        <v>2025</v>
      </c>
      <c r="E603" t="s">
        <v>11</v>
      </c>
      <c r="F603" t="s">
        <v>12</v>
      </c>
      <c r="G603" t="s">
        <v>57</v>
      </c>
      <c r="H603" t="s">
        <v>14</v>
      </c>
      <c r="I603">
        <v>1</v>
      </c>
      <c r="J603" s="2">
        <v>15.99</v>
      </c>
      <c r="K603" s="2">
        <v>15.99</v>
      </c>
      <c r="L603">
        <v>1</v>
      </c>
      <c r="M603" t="str">
        <f>IF(Table1[[#This Row],[Customer Rating]]&gt;=3,"Good","Average")</f>
        <v>Average</v>
      </c>
    </row>
    <row r="604" spans="1:13" x14ac:dyDescent="0.25">
      <c r="A604" t="s">
        <v>654</v>
      </c>
      <c r="B604" s="4">
        <v>45529</v>
      </c>
      <c r="C604" s="4" t="str">
        <f>TEXT(Table1[[#This Row],[Order Date]],"mmm")</f>
        <v>Aug</v>
      </c>
      <c r="D604" s="4" t="str">
        <f>TEXT(Table1[[#This Row],[Order Date]],"yyyy")</f>
        <v>2024</v>
      </c>
      <c r="E604" t="s">
        <v>32</v>
      </c>
      <c r="F604" t="s">
        <v>12</v>
      </c>
      <c r="G604" t="s">
        <v>55</v>
      </c>
      <c r="H604" t="s">
        <v>23</v>
      </c>
      <c r="I604">
        <v>3</v>
      </c>
      <c r="J604" s="2">
        <v>10.99</v>
      </c>
      <c r="K604" s="2">
        <v>32.97</v>
      </c>
      <c r="L604">
        <v>3</v>
      </c>
      <c r="M604" t="str">
        <f>IF(Table1[[#This Row],[Customer Rating]]&gt;=3,"Good","Average")</f>
        <v>Good</v>
      </c>
    </row>
    <row r="605" spans="1:13" x14ac:dyDescent="0.25">
      <c r="A605" t="s">
        <v>655</v>
      </c>
      <c r="B605" s="4">
        <v>45908</v>
      </c>
      <c r="C605" s="4" t="str">
        <f>TEXT(Table1[[#This Row],[Order Date]],"mmm")</f>
        <v>Sep</v>
      </c>
      <c r="D605" s="4" t="str">
        <f>TEXT(Table1[[#This Row],[Order Date]],"yyyy")</f>
        <v>2025</v>
      </c>
      <c r="E605" t="s">
        <v>45</v>
      </c>
      <c r="F605" t="s">
        <v>17</v>
      </c>
      <c r="G605" t="s">
        <v>83</v>
      </c>
      <c r="H605" t="s">
        <v>14</v>
      </c>
      <c r="I605">
        <v>2</v>
      </c>
      <c r="J605" s="2">
        <v>17.989999999999998</v>
      </c>
      <c r="K605" s="2">
        <v>35.979999999999997</v>
      </c>
      <c r="L605">
        <v>5</v>
      </c>
      <c r="M605" t="str">
        <f>IF(Table1[[#This Row],[Customer Rating]]&gt;=3,"Good","Average")</f>
        <v>Good</v>
      </c>
    </row>
    <row r="606" spans="1:13" x14ac:dyDescent="0.25">
      <c r="A606" t="s">
        <v>656</v>
      </c>
      <c r="B606" s="4">
        <v>45718</v>
      </c>
      <c r="C606" s="4" t="str">
        <f>TEXT(Table1[[#This Row],[Order Date]],"mmm")</f>
        <v>Mar</v>
      </c>
      <c r="D606" s="4" t="str">
        <f>TEXT(Table1[[#This Row],[Order Date]],"yyyy")</f>
        <v>2025</v>
      </c>
      <c r="E606" t="s">
        <v>16</v>
      </c>
      <c r="F606" t="s">
        <v>29</v>
      </c>
      <c r="G606" t="s">
        <v>30</v>
      </c>
      <c r="H606" t="s">
        <v>19</v>
      </c>
      <c r="I606">
        <v>2</v>
      </c>
      <c r="J606" s="2">
        <v>7.99</v>
      </c>
      <c r="K606" s="2">
        <v>15.98</v>
      </c>
      <c r="L606">
        <v>3</v>
      </c>
      <c r="M606" t="str">
        <f>IF(Table1[[#This Row],[Customer Rating]]&gt;=3,"Good","Average")</f>
        <v>Good</v>
      </c>
    </row>
    <row r="607" spans="1:13" x14ac:dyDescent="0.25">
      <c r="A607" t="s">
        <v>657</v>
      </c>
      <c r="B607" s="4">
        <v>45526</v>
      </c>
      <c r="C607" s="4" t="str">
        <f>TEXT(Table1[[#This Row],[Order Date]],"mmm")</f>
        <v>Aug</v>
      </c>
      <c r="D607" s="4" t="str">
        <f>TEXT(Table1[[#This Row],[Order Date]],"yyyy")</f>
        <v>2024</v>
      </c>
      <c r="E607" t="s">
        <v>11</v>
      </c>
      <c r="F607" t="s">
        <v>17</v>
      </c>
      <c r="G607" t="s">
        <v>50</v>
      </c>
      <c r="H607" t="s">
        <v>14</v>
      </c>
      <c r="I607">
        <v>1</v>
      </c>
      <c r="J607" s="2">
        <v>22.99</v>
      </c>
      <c r="K607" s="2">
        <v>22.99</v>
      </c>
      <c r="L607">
        <v>5</v>
      </c>
      <c r="M607" t="str">
        <f>IF(Table1[[#This Row],[Customer Rating]]&gt;=3,"Good","Average")</f>
        <v>Good</v>
      </c>
    </row>
    <row r="608" spans="1:13" x14ac:dyDescent="0.25">
      <c r="A608" t="s">
        <v>658</v>
      </c>
      <c r="B608" s="4">
        <v>45429</v>
      </c>
      <c r="C608" s="4" t="str">
        <f>TEXT(Table1[[#This Row],[Order Date]],"mmm")</f>
        <v>May</v>
      </c>
      <c r="D608" s="4" t="str">
        <f>TEXT(Table1[[#This Row],[Order Date]],"yyyy")</f>
        <v>2024</v>
      </c>
      <c r="E608" t="s">
        <v>11</v>
      </c>
      <c r="F608" t="s">
        <v>29</v>
      </c>
      <c r="G608" t="s">
        <v>41</v>
      </c>
      <c r="H608" t="s">
        <v>23</v>
      </c>
      <c r="I608">
        <v>1</v>
      </c>
      <c r="J608" s="2">
        <v>12.99</v>
      </c>
      <c r="K608" s="2">
        <v>12.99</v>
      </c>
      <c r="L608">
        <v>3</v>
      </c>
      <c r="M608" t="str">
        <f>IF(Table1[[#This Row],[Customer Rating]]&gt;=3,"Good","Average")</f>
        <v>Good</v>
      </c>
    </row>
    <row r="609" spans="1:13" x14ac:dyDescent="0.25">
      <c r="A609" t="s">
        <v>659</v>
      </c>
      <c r="B609" s="4">
        <v>45441</v>
      </c>
      <c r="C609" s="4" t="str">
        <f>TEXT(Table1[[#This Row],[Order Date]],"mmm")</f>
        <v>May</v>
      </c>
      <c r="D609" s="4" t="str">
        <f>TEXT(Table1[[#This Row],[Order Date]],"yyyy")</f>
        <v>2024</v>
      </c>
      <c r="E609" t="s">
        <v>38</v>
      </c>
      <c r="F609" t="s">
        <v>12</v>
      </c>
      <c r="G609" t="s">
        <v>46</v>
      </c>
      <c r="H609" t="s">
        <v>14</v>
      </c>
      <c r="I609">
        <v>2</v>
      </c>
      <c r="J609" s="2">
        <v>32.99</v>
      </c>
      <c r="K609" s="2">
        <v>65.98</v>
      </c>
      <c r="L609">
        <v>4</v>
      </c>
      <c r="M609" t="str">
        <f>IF(Table1[[#This Row],[Customer Rating]]&gt;=3,"Good","Average")</f>
        <v>Good</v>
      </c>
    </row>
    <row r="610" spans="1:13" x14ac:dyDescent="0.25">
      <c r="A610" t="s">
        <v>660</v>
      </c>
      <c r="B610" s="4">
        <v>45731</v>
      </c>
      <c r="C610" s="4" t="str">
        <f>TEXT(Table1[[#This Row],[Order Date]],"mmm")</f>
        <v>Mar</v>
      </c>
      <c r="D610" s="4" t="str">
        <f>TEXT(Table1[[#This Row],[Order Date]],"yyyy")</f>
        <v>2025</v>
      </c>
      <c r="E610" t="s">
        <v>34</v>
      </c>
      <c r="F610" t="s">
        <v>12</v>
      </c>
      <c r="G610" t="s">
        <v>22</v>
      </c>
      <c r="H610" t="s">
        <v>23</v>
      </c>
      <c r="I610">
        <v>2</v>
      </c>
      <c r="J610" s="2">
        <v>8.99</v>
      </c>
      <c r="K610" s="2">
        <v>17.98</v>
      </c>
      <c r="L610">
        <v>5</v>
      </c>
      <c r="M610" t="str">
        <f>IF(Table1[[#This Row],[Customer Rating]]&gt;=3,"Good","Average")</f>
        <v>Good</v>
      </c>
    </row>
    <row r="611" spans="1:13" x14ac:dyDescent="0.25">
      <c r="A611" t="s">
        <v>661</v>
      </c>
      <c r="B611" s="4">
        <v>45611</v>
      </c>
      <c r="C611" s="4" t="str">
        <f>TEXT(Table1[[#This Row],[Order Date]],"mmm")</f>
        <v>Nov</v>
      </c>
      <c r="D611" s="4" t="str">
        <f>TEXT(Table1[[#This Row],[Order Date]],"yyyy")</f>
        <v>2024</v>
      </c>
      <c r="E611" t="s">
        <v>16</v>
      </c>
      <c r="F611" t="s">
        <v>12</v>
      </c>
      <c r="G611" t="s">
        <v>83</v>
      </c>
      <c r="H611" t="s">
        <v>14</v>
      </c>
      <c r="I611">
        <v>1</v>
      </c>
      <c r="J611" s="2">
        <v>17.989999999999998</v>
      </c>
      <c r="K611" s="2">
        <v>17.989999999999998</v>
      </c>
      <c r="L611">
        <v>5</v>
      </c>
      <c r="M611" t="str">
        <f>IF(Table1[[#This Row],[Customer Rating]]&gt;=3,"Good","Average")</f>
        <v>Good</v>
      </c>
    </row>
    <row r="612" spans="1:13" x14ac:dyDescent="0.25">
      <c r="A612" t="s">
        <v>662</v>
      </c>
      <c r="B612" s="4">
        <v>45794</v>
      </c>
      <c r="C612" s="4" t="str">
        <f>TEXT(Table1[[#This Row],[Order Date]],"mmm")</f>
        <v>May</v>
      </c>
      <c r="D612" s="4" t="str">
        <f>TEXT(Table1[[#This Row],[Order Date]],"yyyy")</f>
        <v>2025</v>
      </c>
      <c r="E612" t="s">
        <v>32</v>
      </c>
      <c r="F612" t="s">
        <v>29</v>
      </c>
      <c r="G612" t="s">
        <v>36</v>
      </c>
      <c r="H612" t="s">
        <v>14</v>
      </c>
      <c r="I612">
        <v>2</v>
      </c>
      <c r="J612" s="2">
        <v>16.989999999999998</v>
      </c>
      <c r="K612" s="2">
        <v>33.979999999999997</v>
      </c>
      <c r="L612">
        <v>4</v>
      </c>
      <c r="M612" t="str">
        <f>IF(Table1[[#This Row],[Customer Rating]]&gt;=3,"Good","Average")</f>
        <v>Good</v>
      </c>
    </row>
    <row r="613" spans="1:13" x14ac:dyDescent="0.25">
      <c r="A613" t="s">
        <v>663</v>
      </c>
      <c r="B613" s="4">
        <v>45458</v>
      </c>
      <c r="C613" s="4" t="str">
        <f>TEXT(Table1[[#This Row],[Order Date]],"mmm")</f>
        <v>Jun</v>
      </c>
      <c r="D613" s="4" t="str">
        <f>TEXT(Table1[[#This Row],[Order Date]],"yyyy")</f>
        <v>2024</v>
      </c>
      <c r="E613" t="s">
        <v>45</v>
      </c>
      <c r="F613" t="s">
        <v>17</v>
      </c>
      <c r="G613" t="s">
        <v>22</v>
      </c>
      <c r="H613" t="s">
        <v>23</v>
      </c>
      <c r="I613">
        <v>3</v>
      </c>
      <c r="J613" s="2">
        <v>8.99</v>
      </c>
      <c r="K613" s="2">
        <v>26.97</v>
      </c>
      <c r="L613">
        <v>4</v>
      </c>
      <c r="M613" t="str">
        <f>IF(Table1[[#This Row],[Customer Rating]]&gt;=3,"Good","Average")</f>
        <v>Good</v>
      </c>
    </row>
    <row r="614" spans="1:13" x14ac:dyDescent="0.25">
      <c r="A614" t="s">
        <v>664</v>
      </c>
      <c r="B614" s="4">
        <v>45749</v>
      </c>
      <c r="C614" s="4" t="str">
        <f>TEXT(Table1[[#This Row],[Order Date]],"mmm")</f>
        <v>Apr</v>
      </c>
      <c r="D614" s="4" t="str">
        <f>TEXT(Table1[[#This Row],[Order Date]],"yyyy")</f>
        <v>2025</v>
      </c>
      <c r="E614" t="s">
        <v>34</v>
      </c>
      <c r="F614" t="s">
        <v>17</v>
      </c>
      <c r="G614" t="s">
        <v>52</v>
      </c>
      <c r="H614" t="s">
        <v>19</v>
      </c>
      <c r="I614">
        <v>3</v>
      </c>
      <c r="J614" s="2">
        <v>6.99</v>
      </c>
      <c r="K614" s="2">
        <v>20.97</v>
      </c>
      <c r="L614">
        <v>4</v>
      </c>
      <c r="M614" t="str">
        <f>IF(Table1[[#This Row],[Customer Rating]]&gt;=3,"Good","Average")</f>
        <v>Good</v>
      </c>
    </row>
    <row r="615" spans="1:13" x14ac:dyDescent="0.25">
      <c r="A615" t="s">
        <v>665</v>
      </c>
      <c r="B615" s="4">
        <v>45748</v>
      </c>
      <c r="C615" s="4" t="str">
        <f>TEXT(Table1[[#This Row],[Order Date]],"mmm")</f>
        <v>Apr</v>
      </c>
      <c r="D615" s="4" t="str">
        <f>TEXT(Table1[[#This Row],[Order Date]],"yyyy")</f>
        <v>2025</v>
      </c>
      <c r="E615" t="s">
        <v>32</v>
      </c>
      <c r="F615" t="s">
        <v>12</v>
      </c>
      <c r="G615" t="s">
        <v>36</v>
      </c>
      <c r="H615" t="s">
        <v>14</v>
      </c>
      <c r="I615">
        <v>1</v>
      </c>
      <c r="J615" s="2">
        <v>16.989999999999998</v>
      </c>
      <c r="K615" s="2">
        <v>16.989999999999998</v>
      </c>
      <c r="L615">
        <v>2</v>
      </c>
      <c r="M615" t="str">
        <f>IF(Table1[[#This Row],[Customer Rating]]&gt;=3,"Good","Average")</f>
        <v>Average</v>
      </c>
    </row>
    <row r="616" spans="1:13" x14ac:dyDescent="0.25">
      <c r="A616" t="s">
        <v>666</v>
      </c>
      <c r="B616" s="4">
        <v>45371</v>
      </c>
      <c r="C616" s="4" t="str">
        <f>TEXT(Table1[[#This Row],[Order Date]],"mmm")</f>
        <v>Mar</v>
      </c>
      <c r="D616" s="4" t="str">
        <f>TEXT(Table1[[#This Row],[Order Date]],"yyyy")</f>
        <v>2024</v>
      </c>
      <c r="E616" t="s">
        <v>38</v>
      </c>
      <c r="F616" t="s">
        <v>12</v>
      </c>
      <c r="G616" t="s">
        <v>39</v>
      </c>
      <c r="H616" t="s">
        <v>14</v>
      </c>
      <c r="I616">
        <v>1</v>
      </c>
      <c r="J616" s="2">
        <v>24.99</v>
      </c>
      <c r="K616" s="2">
        <v>24.99</v>
      </c>
      <c r="L616">
        <v>4</v>
      </c>
      <c r="M616" t="str">
        <f>IF(Table1[[#This Row],[Customer Rating]]&gt;=3,"Good","Average")</f>
        <v>Good</v>
      </c>
    </row>
    <row r="617" spans="1:13" x14ac:dyDescent="0.25">
      <c r="A617" t="s">
        <v>667</v>
      </c>
      <c r="B617" s="4">
        <v>45688</v>
      </c>
      <c r="C617" s="4" t="str">
        <f>TEXT(Table1[[#This Row],[Order Date]],"mmm")</f>
        <v>Jan</v>
      </c>
      <c r="D617" s="4" t="str">
        <f>TEXT(Table1[[#This Row],[Order Date]],"yyyy")</f>
        <v>2025</v>
      </c>
      <c r="E617" t="s">
        <v>32</v>
      </c>
      <c r="F617" t="s">
        <v>12</v>
      </c>
      <c r="G617" t="s">
        <v>39</v>
      </c>
      <c r="H617" t="s">
        <v>14</v>
      </c>
      <c r="I617">
        <v>2</v>
      </c>
      <c r="J617" s="2">
        <v>24.99</v>
      </c>
      <c r="K617" s="2">
        <v>49.98</v>
      </c>
      <c r="L617">
        <v>4</v>
      </c>
      <c r="M617" t="str">
        <f>IF(Table1[[#This Row],[Customer Rating]]&gt;=3,"Good","Average")</f>
        <v>Good</v>
      </c>
    </row>
    <row r="618" spans="1:13" x14ac:dyDescent="0.25">
      <c r="A618" t="s">
        <v>668</v>
      </c>
      <c r="B618" s="4">
        <v>45442</v>
      </c>
      <c r="C618" s="4" t="str">
        <f>TEXT(Table1[[#This Row],[Order Date]],"mmm")</f>
        <v>May</v>
      </c>
      <c r="D618" s="4" t="str">
        <f>TEXT(Table1[[#This Row],[Order Date]],"yyyy")</f>
        <v>2024</v>
      </c>
      <c r="E618" t="s">
        <v>32</v>
      </c>
      <c r="F618" t="s">
        <v>17</v>
      </c>
      <c r="G618" t="s">
        <v>55</v>
      </c>
      <c r="H618" t="s">
        <v>23</v>
      </c>
      <c r="I618">
        <v>2</v>
      </c>
      <c r="J618" s="2">
        <v>10.99</v>
      </c>
      <c r="K618" s="2">
        <v>21.98</v>
      </c>
      <c r="L618">
        <v>5</v>
      </c>
      <c r="M618" t="str">
        <f>IF(Table1[[#This Row],[Customer Rating]]&gt;=3,"Good","Average")</f>
        <v>Good</v>
      </c>
    </row>
    <row r="619" spans="1:13" x14ac:dyDescent="0.25">
      <c r="A619" t="s">
        <v>669</v>
      </c>
      <c r="B619" s="4">
        <v>45951</v>
      </c>
      <c r="C619" s="4" t="str">
        <f>TEXT(Table1[[#This Row],[Order Date]],"mmm")</f>
        <v>Oct</v>
      </c>
      <c r="D619" s="4" t="str">
        <f>TEXT(Table1[[#This Row],[Order Date]],"yyyy")</f>
        <v>2025</v>
      </c>
      <c r="E619" t="s">
        <v>21</v>
      </c>
      <c r="F619" t="s">
        <v>17</v>
      </c>
      <c r="G619" t="s">
        <v>62</v>
      </c>
      <c r="H619" t="s">
        <v>23</v>
      </c>
      <c r="I619">
        <v>1</v>
      </c>
      <c r="J619" s="2">
        <v>9.99</v>
      </c>
      <c r="K619" s="2">
        <v>9.99</v>
      </c>
      <c r="L619">
        <v>3</v>
      </c>
      <c r="M619" t="str">
        <f>IF(Table1[[#This Row],[Customer Rating]]&gt;=3,"Good","Average")</f>
        <v>Good</v>
      </c>
    </row>
    <row r="620" spans="1:13" x14ac:dyDescent="0.25">
      <c r="A620" t="s">
        <v>670</v>
      </c>
      <c r="B620" s="4">
        <v>45711</v>
      </c>
      <c r="C620" s="4" t="str">
        <f>TEXT(Table1[[#This Row],[Order Date]],"mmm")</f>
        <v>Feb</v>
      </c>
      <c r="D620" s="4" t="str">
        <f>TEXT(Table1[[#This Row],[Order Date]],"yyyy")</f>
        <v>2025</v>
      </c>
      <c r="E620" t="s">
        <v>45</v>
      </c>
      <c r="F620" t="s">
        <v>12</v>
      </c>
      <c r="G620" t="s">
        <v>119</v>
      </c>
      <c r="H620" t="s">
        <v>19</v>
      </c>
      <c r="I620">
        <v>1</v>
      </c>
      <c r="J620" s="2">
        <v>4.99</v>
      </c>
      <c r="K620" s="2">
        <v>4.99</v>
      </c>
      <c r="L620">
        <v>5</v>
      </c>
      <c r="M620" t="str">
        <f>IF(Table1[[#This Row],[Customer Rating]]&gt;=3,"Good","Average")</f>
        <v>Good</v>
      </c>
    </row>
    <row r="621" spans="1:13" x14ac:dyDescent="0.25">
      <c r="A621" t="s">
        <v>671</v>
      </c>
      <c r="B621" s="4">
        <v>45553</v>
      </c>
      <c r="C621" s="4" t="str">
        <f>TEXT(Table1[[#This Row],[Order Date]],"mmm")</f>
        <v>Sep</v>
      </c>
      <c r="D621" s="4" t="str">
        <f>TEXT(Table1[[#This Row],[Order Date]],"yyyy")</f>
        <v>2024</v>
      </c>
      <c r="E621" t="s">
        <v>11</v>
      </c>
      <c r="F621" t="s">
        <v>12</v>
      </c>
      <c r="G621" t="s">
        <v>18</v>
      </c>
      <c r="H621" t="s">
        <v>19</v>
      </c>
      <c r="I621">
        <v>1</v>
      </c>
      <c r="J621" s="2">
        <v>9.99</v>
      </c>
      <c r="K621" s="2">
        <v>9.99</v>
      </c>
      <c r="L621">
        <v>4</v>
      </c>
      <c r="M621" t="str">
        <f>IF(Table1[[#This Row],[Customer Rating]]&gt;=3,"Good","Average")</f>
        <v>Good</v>
      </c>
    </row>
    <row r="622" spans="1:13" x14ac:dyDescent="0.25">
      <c r="A622" t="s">
        <v>672</v>
      </c>
      <c r="B622" s="4">
        <v>45974</v>
      </c>
      <c r="C622" s="4" t="str">
        <f>TEXT(Table1[[#This Row],[Order Date]],"mmm")</f>
        <v>Nov</v>
      </c>
      <c r="D622" s="4" t="str">
        <f>TEXT(Table1[[#This Row],[Order Date]],"yyyy")</f>
        <v>2025</v>
      </c>
      <c r="E622" t="s">
        <v>97</v>
      </c>
      <c r="F622" t="s">
        <v>17</v>
      </c>
      <c r="G622" t="s">
        <v>50</v>
      </c>
      <c r="H622" t="s">
        <v>14</v>
      </c>
      <c r="I622">
        <v>4</v>
      </c>
      <c r="J622" s="2">
        <v>22.99</v>
      </c>
      <c r="K622" s="2">
        <v>91.96</v>
      </c>
      <c r="L622">
        <v>4</v>
      </c>
      <c r="M622" t="str">
        <f>IF(Table1[[#This Row],[Customer Rating]]&gt;=3,"Good","Average")</f>
        <v>Good</v>
      </c>
    </row>
    <row r="623" spans="1:13" x14ac:dyDescent="0.25">
      <c r="A623" t="s">
        <v>673</v>
      </c>
      <c r="B623" s="4">
        <v>45435</v>
      </c>
      <c r="C623" s="4" t="str">
        <f>TEXT(Table1[[#This Row],[Order Date]],"mmm")</f>
        <v>May</v>
      </c>
      <c r="D623" s="4" t="str">
        <f>TEXT(Table1[[#This Row],[Order Date]],"yyyy")</f>
        <v>2024</v>
      </c>
      <c r="E623" t="s">
        <v>11</v>
      </c>
      <c r="F623" t="s">
        <v>29</v>
      </c>
      <c r="G623" t="s">
        <v>13</v>
      </c>
      <c r="H623" t="s">
        <v>14</v>
      </c>
      <c r="I623">
        <v>1</v>
      </c>
      <c r="J623" s="2">
        <v>18.989999999999998</v>
      </c>
      <c r="K623" s="2">
        <v>18.989999999999998</v>
      </c>
      <c r="L623">
        <v>3</v>
      </c>
      <c r="M623" t="str">
        <f>IF(Table1[[#This Row],[Customer Rating]]&gt;=3,"Good","Average")</f>
        <v>Good</v>
      </c>
    </row>
    <row r="624" spans="1:13" x14ac:dyDescent="0.25">
      <c r="A624" t="s">
        <v>674</v>
      </c>
      <c r="B624" s="4">
        <v>45660</v>
      </c>
      <c r="C624" s="4" t="str">
        <f>TEXT(Table1[[#This Row],[Order Date]],"mmm")</f>
        <v>Jan</v>
      </c>
      <c r="D624" s="4" t="str">
        <f>TEXT(Table1[[#This Row],[Order Date]],"yyyy")</f>
        <v>2025</v>
      </c>
      <c r="E624" t="s">
        <v>45</v>
      </c>
      <c r="F624" t="s">
        <v>17</v>
      </c>
      <c r="G624" t="s">
        <v>22</v>
      </c>
      <c r="H624" t="s">
        <v>23</v>
      </c>
      <c r="I624">
        <v>2</v>
      </c>
      <c r="J624" s="2">
        <v>8.99</v>
      </c>
      <c r="K624" s="2">
        <v>17.98</v>
      </c>
      <c r="L624">
        <v>5</v>
      </c>
      <c r="M624" t="str">
        <f>IF(Table1[[#This Row],[Customer Rating]]&gt;=3,"Good","Average")</f>
        <v>Good</v>
      </c>
    </row>
    <row r="625" spans="1:13" x14ac:dyDescent="0.25">
      <c r="A625" t="s">
        <v>675</v>
      </c>
      <c r="B625" s="4">
        <v>45842</v>
      </c>
      <c r="C625" s="4" t="str">
        <f>TEXT(Table1[[#This Row],[Order Date]],"mmm")</f>
        <v>Jul</v>
      </c>
      <c r="D625" s="4" t="str">
        <f>TEXT(Table1[[#This Row],[Order Date]],"yyyy")</f>
        <v>2025</v>
      </c>
      <c r="E625" t="s">
        <v>28</v>
      </c>
      <c r="F625" t="s">
        <v>17</v>
      </c>
      <c r="G625" t="s">
        <v>43</v>
      </c>
      <c r="H625" t="s">
        <v>23</v>
      </c>
      <c r="I625">
        <v>1</v>
      </c>
      <c r="J625" s="2">
        <v>11.99</v>
      </c>
      <c r="K625" s="2">
        <v>11.99</v>
      </c>
      <c r="L625">
        <v>3</v>
      </c>
      <c r="M625" t="str">
        <f>IF(Table1[[#This Row],[Customer Rating]]&gt;=3,"Good","Average")</f>
        <v>Good</v>
      </c>
    </row>
    <row r="626" spans="1:13" x14ac:dyDescent="0.25">
      <c r="A626" t="s">
        <v>676</v>
      </c>
      <c r="B626" s="4">
        <v>45430</v>
      </c>
      <c r="C626" s="4" t="str">
        <f>TEXT(Table1[[#This Row],[Order Date]],"mmm")</f>
        <v>May</v>
      </c>
      <c r="D626" s="4" t="str">
        <f>TEXT(Table1[[#This Row],[Order Date]],"yyyy")</f>
        <v>2024</v>
      </c>
      <c r="E626" t="s">
        <v>11</v>
      </c>
      <c r="F626" t="s">
        <v>12</v>
      </c>
      <c r="G626" t="s">
        <v>43</v>
      </c>
      <c r="H626" t="s">
        <v>23</v>
      </c>
      <c r="I626">
        <v>2</v>
      </c>
      <c r="J626" s="2">
        <v>11.99</v>
      </c>
      <c r="K626" s="2">
        <v>23.98</v>
      </c>
      <c r="L626">
        <v>4</v>
      </c>
      <c r="M626" t="str">
        <f>IF(Table1[[#This Row],[Customer Rating]]&gt;=3,"Good","Average")</f>
        <v>Good</v>
      </c>
    </row>
    <row r="627" spans="1:13" x14ac:dyDescent="0.25">
      <c r="A627" t="s">
        <v>677</v>
      </c>
      <c r="B627" s="4">
        <v>45929</v>
      </c>
      <c r="C627" s="4" t="str">
        <f>TEXT(Table1[[#This Row],[Order Date]],"mmm")</f>
        <v>Sep</v>
      </c>
      <c r="D627" s="4" t="str">
        <f>TEXT(Table1[[#This Row],[Order Date]],"yyyy")</f>
        <v>2025</v>
      </c>
      <c r="E627" t="s">
        <v>28</v>
      </c>
      <c r="F627" t="s">
        <v>12</v>
      </c>
      <c r="G627" t="s">
        <v>52</v>
      </c>
      <c r="H627" t="s">
        <v>19</v>
      </c>
      <c r="I627">
        <v>2</v>
      </c>
      <c r="J627" s="2">
        <v>6.99</v>
      </c>
      <c r="K627" s="2">
        <v>13.98</v>
      </c>
      <c r="L627">
        <v>3</v>
      </c>
      <c r="M627" t="str">
        <f>IF(Table1[[#This Row],[Customer Rating]]&gt;=3,"Good","Average")</f>
        <v>Good</v>
      </c>
    </row>
    <row r="628" spans="1:13" x14ac:dyDescent="0.25">
      <c r="A628" t="s">
        <v>678</v>
      </c>
      <c r="B628" s="4">
        <v>45366</v>
      </c>
      <c r="C628" s="4" t="str">
        <f>TEXT(Table1[[#This Row],[Order Date]],"mmm")</f>
        <v>Mar</v>
      </c>
      <c r="D628" s="4" t="str">
        <f>TEXT(Table1[[#This Row],[Order Date]],"yyyy")</f>
        <v>2024</v>
      </c>
      <c r="E628" t="s">
        <v>28</v>
      </c>
      <c r="F628" t="s">
        <v>12</v>
      </c>
      <c r="G628" t="s">
        <v>36</v>
      </c>
      <c r="H628" t="s">
        <v>14</v>
      </c>
      <c r="I628">
        <v>1</v>
      </c>
      <c r="J628" s="2">
        <v>16.989999999999998</v>
      </c>
      <c r="K628" s="2">
        <v>16.989999999999998</v>
      </c>
      <c r="L628">
        <v>4</v>
      </c>
      <c r="M628" t="str">
        <f>IF(Table1[[#This Row],[Customer Rating]]&gt;=3,"Good","Average")</f>
        <v>Good</v>
      </c>
    </row>
    <row r="629" spans="1:13" x14ac:dyDescent="0.25">
      <c r="A629" t="s">
        <v>679</v>
      </c>
      <c r="B629" s="4">
        <v>45536</v>
      </c>
      <c r="C629" s="4" t="str">
        <f>TEXT(Table1[[#This Row],[Order Date]],"mmm")</f>
        <v>Sep</v>
      </c>
      <c r="D629" s="4" t="str">
        <f>TEXT(Table1[[#This Row],[Order Date]],"yyyy")</f>
        <v>2024</v>
      </c>
      <c r="E629" t="s">
        <v>11</v>
      </c>
      <c r="F629" t="s">
        <v>29</v>
      </c>
      <c r="G629" t="s">
        <v>176</v>
      </c>
      <c r="H629" t="s">
        <v>67</v>
      </c>
      <c r="I629">
        <v>2</v>
      </c>
      <c r="J629" s="2">
        <v>11.99</v>
      </c>
      <c r="K629" s="2">
        <v>23.98</v>
      </c>
      <c r="L629">
        <v>3</v>
      </c>
      <c r="M629" t="str">
        <f>IF(Table1[[#This Row],[Customer Rating]]&gt;=3,"Good","Average")</f>
        <v>Good</v>
      </c>
    </row>
    <row r="630" spans="1:13" x14ac:dyDescent="0.25">
      <c r="A630" t="s">
        <v>680</v>
      </c>
      <c r="B630" s="4">
        <v>45466</v>
      </c>
      <c r="C630" s="4" t="str">
        <f>TEXT(Table1[[#This Row],[Order Date]],"mmm")</f>
        <v>Jun</v>
      </c>
      <c r="D630" s="4" t="str">
        <f>TEXT(Table1[[#This Row],[Order Date]],"yyyy")</f>
        <v>2024</v>
      </c>
      <c r="E630" t="s">
        <v>25</v>
      </c>
      <c r="F630" t="s">
        <v>29</v>
      </c>
      <c r="G630" t="s">
        <v>142</v>
      </c>
      <c r="H630" t="s">
        <v>23</v>
      </c>
      <c r="I630">
        <v>2</v>
      </c>
      <c r="J630" s="2">
        <v>14.99</v>
      </c>
      <c r="K630" s="2">
        <v>29.98</v>
      </c>
      <c r="L630">
        <v>5</v>
      </c>
      <c r="M630" t="str">
        <f>IF(Table1[[#This Row],[Customer Rating]]&gt;=3,"Good","Average")</f>
        <v>Good</v>
      </c>
    </row>
    <row r="631" spans="1:13" x14ac:dyDescent="0.25">
      <c r="A631" t="s">
        <v>681</v>
      </c>
      <c r="B631" s="4">
        <v>45700</v>
      </c>
      <c r="C631" s="4" t="str">
        <f>TEXT(Table1[[#This Row],[Order Date]],"mmm")</f>
        <v>Feb</v>
      </c>
      <c r="D631" s="4" t="str">
        <f>TEXT(Table1[[#This Row],[Order Date]],"yyyy")</f>
        <v>2025</v>
      </c>
      <c r="E631" t="s">
        <v>97</v>
      </c>
      <c r="F631" t="s">
        <v>12</v>
      </c>
      <c r="G631" t="s">
        <v>26</v>
      </c>
      <c r="H631" t="s">
        <v>19</v>
      </c>
      <c r="I631">
        <v>1</v>
      </c>
      <c r="J631" s="2">
        <v>3.49</v>
      </c>
      <c r="K631" s="2">
        <v>3.49</v>
      </c>
      <c r="L631">
        <v>5</v>
      </c>
      <c r="M631" t="str">
        <f>IF(Table1[[#This Row],[Customer Rating]]&gt;=3,"Good","Average")</f>
        <v>Good</v>
      </c>
    </row>
    <row r="632" spans="1:13" x14ac:dyDescent="0.25">
      <c r="A632" t="s">
        <v>682</v>
      </c>
      <c r="B632" s="4">
        <v>45406</v>
      </c>
      <c r="C632" s="4" t="str">
        <f>TEXT(Table1[[#This Row],[Order Date]],"mmm")</f>
        <v>Apr</v>
      </c>
      <c r="D632" s="4" t="str">
        <f>TEXT(Table1[[#This Row],[Order Date]],"yyyy")</f>
        <v>2024</v>
      </c>
      <c r="E632" t="s">
        <v>34</v>
      </c>
      <c r="F632" t="s">
        <v>12</v>
      </c>
      <c r="G632" t="s">
        <v>221</v>
      </c>
      <c r="H632" t="s">
        <v>67</v>
      </c>
      <c r="I632">
        <v>1</v>
      </c>
      <c r="J632" s="2">
        <v>9.99</v>
      </c>
      <c r="K632" s="2">
        <v>9.99</v>
      </c>
      <c r="L632">
        <v>2</v>
      </c>
      <c r="M632" t="str">
        <f>IF(Table1[[#This Row],[Customer Rating]]&gt;=3,"Good","Average")</f>
        <v>Average</v>
      </c>
    </row>
    <row r="633" spans="1:13" x14ac:dyDescent="0.25">
      <c r="A633" t="s">
        <v>683</v>
      </c>
      <c r="B633" s="4">
        <v>45620</v>
      </c>
      <c r="C633" s="4" t="str">
        <f>TEXT(Table1[[#This Row],[Order Date]],"mmm")</f>
        <v>Nov</v>
      </c>
      <c r="D633" s="4" t="str">
        <f>TEXT(Table1[[#This Row],[Order Date]],"yyyy")</f>
        <v>2024</v>
      </c>
      <c r="E633" t="s">
        <v>28</v>
      </c>
      <c r="F633" t="s">
        <v>12</v>
      </c>
      <c r="G633" t="s">
        <v>79</v>
      </c>
      <c r="H633" t="s">
        <v>67</v>
      </c>
      <c r="I633">
        <v>1</v>
      </c>
      <c r="J633" s="2">
        <v>10.99</v>
      </c>
      <c r="K633" s="2">
        <v>10.99</v>
      </c>
      <c r="L633">
        <v>3</v>
      </c>
      <c r="M633" t="str">
        <f>IF(Table1[[#This Row],[Customer Rating]]&gt;=3,"Good","Average")</f>
        <v>Good</v>
      </c>
    </row>
    <row r="634" spans="1:13" x14ac:dyDescent="0.25">
      <c r="A634" t="s">
        <v>684</v>
      </c>
      <c r="B634" s="4">
        <v>46021</v>
      </c>
      <c r="C634" s="4" t="str">
        <f>TEXT(Table1[[#This Row],[Order Date]],"mmm")</f>
        <v>Dec</v>
      </c>
      <c r="D634" s="4" t="str">
        <f>TEXT(Table1[[#This Row],[Order Date]],"yyyy")</f>
        <v>2025</v>
      </c>
      <c r="E634" t="s">
        <v>16</v>
      </c>
      <c r="F634" t="s">
        <v>29</v>
      </c>
      <c r="G634" t="s">
        <v>36</v>
      </c>
      <c r="H634" t="s">
        <v>14</v>
      </c>
      <c r="I634">
        <v>1</v>
      </c>
      <c r="J634" s="2">
        <v>16.989999999999998</v>
      </c>
      <c r="K634" s="2">
        <v>16.989999999999998</v>
      </c>
      <c r="L634">
        <v>2</v>
      </c>
      <c r="M634" t="str">
        <f>IF(Table1[[#This Row],[Customer Rating]]&gt;=3,"Good","Average")</f>
        <v>Average</v>
      </c>
    </row>
    <row r="635" spans="1:13" x14ac:dyDescent="0.25">
      <c r="A635" t="s">
        <v>685</v>
      </c>
      <c r="B635" s="4">
        <v>45920</v>
      </c>
      <c r="C635" s="4" t="str">
        <f>TEXT(Table1[[#This Row],[Order Date]],"mmm")</f>
        <v>Sep</v>
      </c>
      <c r="D635" s="4" t="str">
        <f>TEXT(Table1[[#This Row],[Order Date]],"yyyy")</f>
        <v>2025</v>
      </c>
      <c r="E635" t="s">
        <v>32</v>
      </c>
      <c r="F635" t="s">
        <v>12</v>
      </c>
      <c r="G635" t="s">
        <v>119</v>
      </c>
      <c r="H635" t="s">
        <v>19</v>
      </c>
      <c r="I635">
        <v>2</v>
      </c>
      <c r="J635" s="2">
        <v>4.99</v>
      </c>
      <c r="K635" s="2">
        <v>9.98</v>
      </c>
      <c r="L635">
        <v>5</v>
      </c>
      <c r="M635" t="str">
        <f>IF(Table1[[#This Row],[Customer Rating]]&gt;=3,"Good","Average")</f>
        <v>Good</v>
      </c>
    </row>
    <row r="636" spans="1:13" x14ac:dyDescent="0.25">
      <c r="A636" t="s">
        <v>686</v>
      </c>
      <c r="B636" s="4">
        <v>45950</v>
      </c>
      <c r="C636" s="4" t="str">
        <f>TEXT(Table1[[#This Row],[Order Date]],"mmm")</f>
        <v>Oct</v>
      </c>
      <c r="D636" s="4" t="str">
        <f>TEXT(Table1[[#This Row],[Order Date]],"yyyy")</f>
        <v>2025</v>
      </c>
      <c r="E636" t="s">
        <v>32</v>
      </c>
      <c r="F636" t="s">
        <v>17</v>
      </c>
      <c r="G636" t="s">
        <v>13</v>
      </c>
      <c r="H636" t="s">
        <v>14</v>
      </c>
      <c r="I636">
        <v>1</v>
      </c>
      <c r="J636" s="2">
        <v>18.989999999999998</v>
      </c>
      <c r="K636" s="2">
        <v>18.989999999999998</v>
      </c>
      <c r="L636">
        <v>4</v>
      </c>
      <c r="M636" t="str">
        <f>IF(Table1[[#This Row],[Customer Rating]]&gt;=3,"Good","Average")</f>
        <v>Good</v>
      </c>
    </row>
    <row r="637" spans="1:13" x14ac:dyDescent="0.25">
      <c r="A637" t="s">
        <v>687</v>
      </c>
      <c r="B637" s="4">
        <v>45795</v>
      </c>
      <c r="C637" s="4" t="str">
        <f>TEXT(Table1[[#This Row],[Order Date]],"mmm")</f>
        <v>May</v>
      </c>
      <c r="D637" s="4" t="str">
        <f>TEXT(Table1[[#This Row],[Order Date]],"yyyy")</f>
        <v>2025</v>
      </c>
      <c r="E637" t="s">
        <v>97</v>
      </c>
      <c r="F637" t="s">
        <v>29</v>
      </c>
      <c r="G637" t="s">
        <v>18</v>
      </c>
      <c r="H637" t="s">
        <v>19</v>
      </c>
      <c r="I637">
        <v>1</v>
      </c>
      <c r="J637" s="2">
        <v>9.99</v>
      </c>
      <c r="K637" s="2">
        <v>9.99</v>
      </c>
      <c r="L637">
        <v>4</v>
      </c>
      <c r="M637" t="str">
        <f>IF(Table1[[#This Row],[Customer Rating]]&gt;=3,"Good","Average")</f>
        <v>Good</v>
      </c>
    </row>
    <row r="638" spans="1:13" x14ac:dyDescent="0.25">
      <c r="A638" t="s">
        <v>688</v>
      </c>
      <c r="B638" s="4">
        <v>45733</v>
      </c>
      <c r="C638" s="4" t="str">
        <f>TEXT(Table1[[#This Row],[Order Date]],"mmm")</f>
        <v>Mar</v>
      </c>
      <c r="D638" s="4" t="str">
        <f>TEXT(Table1[[#This Row],[Order Date]],"yyyy")</f>
        <v>2025</v>
      </c>
      <c r="E638" t="s">
        <v>25</v>
      </c>
      <c r="F638" t="s">
        <v>29</v>
      </c>
      <c r="G638" t="s">
        <v>26</v>
      </c>
      <c r="H638" t="s">
        <v>19</v>
      </c>
      <c r="I638">
        <v>1</v>
      </c>
      <c r="J638" s="2">
        <v>3.49</v>
      </c>
      <c r="K638" s="2">
        <v>3.49</v>
      </c>
      <c r="L638">
        <v>5</v>
      </c>
      <c r="M638" t="str">
        <f>IF(Table1[[#This Row],[Customer Rating]]&gt;=3,"Good","Average")</f>
        <v>Good</v>
      </c>
    </row>
    <row r="639" spans="1:13" x14ac:dyDescent="0.25">
      <c r="A639" t="s">
        <v>689</v>
      </c>
      <c r="B639" s="4">
        <v>45990</v>
      </c>
      <c r="C639" s="4" t="str">
        <f>TEXT(Table1[[#This Row],[Order Date]],"mmm")</f>
        <v>Nov</v>
      </c>
      <c r="D639" s="4" t="str">
        <f>TEXT(Table1[[#This Row],[Order Date]],"yyyy")</f>
        <v>2025</v>
      </c>
      <c r="E639" t="s">
        <v>97</v>
      </c>
      <c r="F639" t="s">
        <v>29</v>
      </c>
      <c r="G639" t="s">
        <v>18</v>
      </c>
      <c r="H639" t="s">
        <v>19</v>
      </c>
      <c r="I639">
        <v>3</v>
      </c>
      <c r="J639" s="2">
        <v>9.99</v>
      </c>
      <c r="K639" s="2">
        <v>29.97</v>
      </c>
      <c r="L639">
        <v>5</v>
      </c>
      <c r="M639" t="str">
        <f>IF(Table1[[#This Row],[Customer Rating]]&gt;=3,"Good","Average")</f>
        <v>Good</v>
      </c>
    </row>
    <row r="640" spans="1:13" x14ac:dyDescent="0.25">
      <c r="A640" t="s">
        <v>690</v>
      </c>
      <c r="B640" s="4">
        <v>45536</v>
      </c>
      <c r="C640" s="4" t="str">
        <f>TEXT(Table1[[#This Row],[Order Date]],"mmm")</f>
        <v>Sep</v>
      </c>
      <c r="D640" s="4" t="str">
        <f>TEXT(Table1[[#This Row],[Order Date]],"yyyy")</f>
        <v>2024</v>
      </c>
      <c r="E640" t="s">
        <v>97</v>
      </c>
      <c r="F640" t="s">
        <v>12</v>
      </c>
      <c r="G640" t="s">
        <v>46</v>
      </c>
      <c r="H640" t="s">
        <v>14</v>
      </c>
      <c r="I640">
        <v>1</v>
      </c>
      <c r="J640" s="2">
        <v>32.99</v>
      </c>
      <c r="K640" s="2">
        <v>32.99</v>
      </c>
      <c r="L640">
        <v>5</v>
      </c>
      <c r="M640" t="str">
        <f>IF(Table1[[#This Row],[Customer Rating]]&gt;=3,"Good","Average")</f>
        <v>Good</v>
      </c>
    </row>
    <row r="641" spans="1:13" x14ac:dyDescent="0.25">
      <c r="A641" t="s">
        <v>691</v>
      </c>
      <c r="B641" s="4">
        <v>45865</v>
      </c>
      <c r="C641" s="4" t="str">
        <f>TEXT(Table1[[#This Row],[Order Date]],"mmm")</f>
        <v>Jul</v>
      </c>
      <c r="D641" s="4" t="str">
        <f>TEXT(Table1[[#This Row],[Order Date]],"yyyy")</f>
        <v>2025</v>
      </c>
      <c r="E641" t="s">
        <v>32</v>
      </c>
      <c r="F641" t="s">
        <v>29</v>
      </c>
      <c r="G641" t="s">
        <v>176</v>
      </c>
      <c r="H641" t="s">
        <v>67</v>
      </c>
      <c r="I641">
        <v>1</v>
      </c>
      <c r="J641" s="2">
        <v>11.99</v>
      </c>
      <c r="K641" s="2">
        <v>11.99</v>
      </c>
      <c r="L641">
        <v>4</v>
      </c>
      <c r="M641" t="str">
        <f>IF(Table1[[#This Row],[Customer Rating]]&gt;=3,"Good","Average")</f>
        <v>Good</v>
      </c>
    </row>
    <row r="642" spans="1:13" x14ac:dyDescent="0.25">
      <c r="A642" t="s">
        <v>692</v>
      </c>
      <c r="B642" s="4">
        <v>45920</v>
      </c>
      <c r="C642" s="4" t="str">
        <f>TEXT(Table1[[#This Row],[Order Date]],"mmm")</f>
        <v>Sep</v>
      </c>
      <c r="D642" s="4" t="str">
        <f>TEXT(Table1[[#This Row],[Order Date]],"yyyy")</f>
        <v>2025</v>
      </c>
      <c r="E642" t="s">
        <v>28</v>
      </c>
      <c r="F642" t="s">
        <v>29</v>
      </c>
      <c r="G642" t="s">
        <v>119</v>
      </c>
      <c r="H642" t="s">
        <v>19</v>
      </c>
      <c r="I642">
        <v>2</v>
      </c>
      <c r="J642" s="2">
        <v>4.99</v>
      </c>
      <c r="K642" s="2">
        <v>9.98</v>
      </c>
      <c r="L642">
        <v>4</v>
      </c>
      <c r="M642" t="str">
        <f>IF(Table1[[#This Row],[Customer Rating]]&gt;=3,"Good","Average")</f>
        <v>Good</v>
      </c>
    </row>
    <row r="643" spans="1:13" x14ac:dyDescent="0.25">
      <c r="A643" t="s">
        <v>693</v>
      </c>
      <c r="B643" s="4">
        <v>45813</v>
      </c>
      <c r="C643" s="4" t="str">
        <f>TEXT(Table1[[#This Row],[Order Date]],"mmm")</f>
        <v>Jun</v>
      </c>
      <c r="D643" s="4" t="str">
        <f>TEXT(Table1[[#This Row],[Order Date]],"yyyy")</f>
        <v>2025</v>
      </c>
      <c r="E643" t="s">
        <v>97</v>
      </c>
      <c r="F643" t="s">
        <v>12</v>
      </c>
      <c r="G643" t="s">
        <v>46</v>
      </c>
      <c r="H643" t="s">
        <v>14</v>
      </c>
      <c r="I643">
        <v>1</v>
      </c>
      <c r="J643" s="2">
        <v>32.99</v>
      </c>
      <c r="K643" s="2">
        <v>32.99</v>
      </c>
      <c r="L643">
        <v>5</v>
      </c>
      <c r="M643" t="str">
        <f>IF(Table1[[#This Row],[Customer Rating]]&gt;=3,"Good","Average")</f>
        <v>Good</v>
      </c>
    </row>
    <row r="644" spans="1:13" x14ac:dyDescent="0.25">
      <c r="A644" t="s">
        <v>694</v>
      </c>
      <c r="B644" s="4">
        <v>45542</v>
      </c>
      <c r="C644" s="4" t="str">
        <f>TEXT(Table1[[#This Row],[Order Date]],"mmm")</f>
        <v>Sep</v>
      </c>
      <c r="D644" s="4" t="str">
        <f>TEXT(Table1[[#This Row],[Order Date]],"yyyy")</f>
        <v>2024</v>
      </c>
      <c r="E644" t="s">
        <v>45</v>
      </c>
      <c r="F644" t="s">
        <v>29</v>
      </c>
      <c r="G644" t="s">
        <v>50</v>
      </c>
      <c r="H644" t="s">
        <v>14</v>
      </c>
      <c r="I644">
        <v>2</v>
      </c>
      <c r="J644" s="2">
        <v>22.99</v>
      </c>
      <c r="K644" s="2">
        <v>45.98</v>
      </c>
      <c r="L644">
        <v>2</v>
      </c>
      <c r="M644" t="str">
        <f>IF(Table1[[#This Row],[Customer Rating]]&gt;=3,"Good","Average")</f>
        <v>Average</v>
      </c>
    </row>
    <row r="645" spans="1:13" x14ac:dyDescent="0.25">
      <c r="A645" t="s">
        <v>695</v>
      </c>
      <c r="B645" s="4">
        <v>45616</v>
      </c>
      <c r="C645" s="4" t="str">
        <f>TEXT(Table1[[#This Row],[Order Date]],"mmm")</f>
        <v>Nov</v>
      </c>
      <c r="D645" s="4" t="str">
        <f>TEXT(Table1[[#This Row],[Order Date]],"yyyy")</f>
        <v>2024</v>
      </c>
      <c r="E645" t="s">
        <v>11</v>
      </c>
      <c r="F645" t="s">
        <v>12</v>
      </c>
      <c r="G645" t="s">
        <v>57</v>
      </c>
      <c r="H645" t="s">
        <v>14</v>
      </c>
      <c r="I645">
        <v>1</v>
      </c>
      <c r="J645" s="2">
        <v>15.99</v>
      </c>
      <c r="K645" s="2">
        <v>15.99</v>
      </c>
      <c r="L645">
        <v>4</v>
      </c>
      <c r="M645" t="str">
        <f>IF(Table1[[#This Row],[Customer Rating]]&gt;=3,"Good","Average")</f>
        <v>Good</v>
      </c>
    </row>
    <row r="646" spans="1:13" x14ac:dyDescent="0.25">
      <c r="A646" t="s">
        <v>696</v>
      </c>
      <c r="B646" s="4">
        <v>45680</v>
      </c>
      <c r="C646" s="4" t="str">
        <f>TEXT(Table1[[#This Row],[Order Date]],"mmm")</f>
        <v>Jan</v>
      </c>
      <c r="D646" s="4" t="str">
        <f>TEXT(Table1[[#This Row],[Order Date]],"yyyy")</f>
        <v>2025</v>
      </c>
      <c r="E646" t="s">
        <v>97</v>
      </c>
      <c r="F646" t="s">
        <v>29</v>
      </c>
      <c r="G646" t="s">
        <v>66</v>
      </c>
      <c r="H646" t="s">
        <v>67</v>
      </c>
      <c r="I646">
        <v>1</v>
      </c>
      <c r="J646" s="2">
        <v>7.99</v>
      </c>
      <c r="K646" s="2">
        <v>7.99</v>
      </c>
      <c r="L646">
        <v>5</v>
      </c>
      <c r="M646" t="str">
        <f>IF(Table1[[#This Row],[Customer Rating]]&gt;=3,"Good","Average")</f>
        <v>Good</v>
      </c>
    </row>
    <row r="647" spans="1:13" x14ac:dyDescent="0.25">
      <c r="A647" t="s">
        <v>697</v>
      </c>
      <c r="B647" s="4">
        <v>45713</v>
      </c>
      <c r="C647" s="4" t="str">
        <f>TEXT(Table1[[#This Row],[Order Date]],"mmm")</f>
        <v>Feb</v>
      </c>
      <c r="D647" s="4" t="str">
        <f>TEXT(Table1[[#This Row],[Order Date]],"yyyy")</f>
        <v>2025</v>
      </c>
      <c r="E647" t="s">
        <v>32</v>
      </c>
      <c r="F647" t="s">
        <v>29</v>
      </c>
      <c r="G647" t="s">
        <v>83</v>
      </c>
      <c r="H647" t="s">
        <v>14</v>
      </c>
      <c r="I647">
        <v>2</v>
      </c>
      <c r="J647" s="2">
        <v>17.989999999999998</v>
      </c>
      <c r="K647" s="2">
        <v>35.979999999999997</v>
      </c>
      <c r="L647">
        <v>5</v>
      </c>
      <c r="M647" t="str">
        <f>IF(Table1[[#This Row],[Customer Rating]]&gt;=3,"Good","Average")</f>
        <v>Good</v>
      </c>
    </row>
    <row r="648" spans="1:13" x14ac:dyDescent="0.25">
      <c r="A648" t="s">
        <v>698</v>
      </c>
      <c r="B648" s="4">
        <v>45927</v>
      </c>
      <c r="C648" s="4" t="str">
        <f>TEXT(Table1[[#This Row],[Order Date]],"mmm")</f>
        <v>Sep</v>
      </c>
      <c r="D648" s="4" t="str">
        <f>TEXT(Table1[[#This Row],[Order Date]],"yyyy")</f>
        <v>2025</v>
      </c>
      <c r="E648" t="s">
        <v>16</v>
      </c>
      <c r="F648" t="s">
        <v>29</v>
      </c>
      <c r="G648" t="s">
        <v>52</v>
      </c>
      <c r="H648" t="s">
        <v>19</v>
      </c>
      <c r="I648">
        <v>3</v>
      </c>
      <c r="J648" s="2">
        <v>6.99</v>
      </c>
      <c r="K648" s="2">
        <v>20.97</v>
      </c>
      <c r="L648">
        <v>3</v>
      </c>
      <c r="M648" t="str">
        <f>IF(Table1[[#This Row],[Customer Rating]]&gt;=3,"Good","Average")</f>
        <v>Good</v>
      </c>
    </row>
    <row r="649" spans="1:13" x14ac:dyDescent="0.25">
      <c r="A649" t="s">
        <v>699</v>
      </c>
      <c r="B649" s="4">
        <v>45394</v>
      </c>
      <c r="C649" s="4" t="str">
        <f>TEXT(Table1[[#This Row],[Order Date]],"mmm")</f>
        <v>Apr</v>
      </c>
      <c r="D649" s="4" t="str">
        <f>TEXT(Table1[[#This Row],[Order Date]],"yyyy")</f>
        <v>2024</v>
      </c>
      <c r="E649" t="s">
        <v>16</v>
      </c>
      <c r="F649" t="s">
        <v>17</v>
      </c>
      <c r="G649" t="s">
        <v>66</v>
      </c>
      <c r="H649" t="s">
        <v>67</v>
      </c>
      <c r="I649">
        <v>3</v>
      </c>
      <c r="J649" s="2">
        <v>7.99</v>
      </c>
      <c r="K649" s="2">
        <v>23.97</v>
      </c>
      <c r="L649">
        <v>4</v>
      </c>
      <c r="M649" t="str">
        <f>IF(Table1[[#This Row],[Customer Rating]]&gt;=3,"Good","Average")</f>
        <v>Good</v>
      </c>
    </row>
    <row r="650" spans="1:13" x14ac:dyDescent="0.25">
      <c r="A650" t="s">
        <v>700</v>
      </c>
      <c r="B650" s="4">
        <v>45716</v>
      </c>
      <c r="C650" s="4" t="str">
        <f>TEXT(Table1[[#This Row],[Order Date]],"mmm")</f>
        <v>Feb</v>
      </c>
      <c r="D650" s="4" t="str">
        <f>TEXT(Table1[[#This Row],[Order Date]],"yyyy")</f>
        <v>2025</v>
      </c>
      <c r="E650" t="s">
        <v>25</v>
      </c>
      <c r="F650" t="s">
        <v>29</v>
      </c>
      <c r="G650" t="s">
        <v>176</v>
      </c>
      <c r="H650" t="s">
        <v>67</v>
      </c>
      <c r="I650">
        <v>1</v>
      </c>
      <c r="J650" s="2">
        <v>11.99</v>
      </c>
      <c r="K650" s="2">
        <v>11.99</v>
      </c>
      <c r="L650">
        <v>4</v>
      </c>
      <c r="M650" t="str">
        <f>IF(Table1[[#This Row],[Customer Rating]]&gt;=3,"Good","Average")</f>
        <v>Good</v>
      </c>
    </row>
    <row r="651" spans="1:13" x14ac:dyDescent="0.25">
      <c r="A651" t="s">
        <v>701</v>
      </c>
      <c r="B651" s="4">
        <v>45350</v>
      </c>
      <c r="C651" s="4" t="str">
        <f>TEXT(Table1[[#This Row],[Order Date]],"mmm")</f>
        <v>Feb</v>
      </c>
      <c r="D651" s="4" t="str">
        <f>TEXT(Table1[[#This Row],[Order Date]],"yyyy")</f>
        <v>2024</v>
      </c>
      <c r="E651" t="s">
        <v>16</v>
      </c>
      <c r="F651" t="s">
        <v>17</v>
      </c>
      <c r="G651" t="s">
        <v>26</v>
      </c>
      <c r="H651" t="s">
        <v>19</v>
      </c>
      <c r="I651">
        <v>2</v>
      </c>
      <c r="J651" s="2">
        <v>3.49</v>
      </c>
      <c r="K651" s="2">
        <v>6.98</v>
      </c>
      <c r="L651">
        <v>5</v>
      </c>
      <c r="M651" t="str">
        <f>IF(Table1[[#This Row],[Customer Rating]]&gt;=3,"Good","Average")</f>
        <v>Good</v>
      </c>
    </row>
    <row r="652" spans="1:13" x14ac:dyDescent="0.25">
      <c r="A652" t="s">
        <v>702</v>
      </c>
      <c r="B652" s="4">
        <v>45389</v>
      </c>
      <c r="C652" s="4" t="str">
        <f>TEXT(Table1[[#This Row],[Order Date]],"mmm")</f>
        <v>Apr</v>
      </c>
      <c r="D652" s="4" t="str">
        <f>TEXT(Table1[[#This Row],[Order Date]],"yyyy")</f>
        <v>2024</v>
      </c>
      <c r="E652" t="s">
        <v>38</v>
      </c>
      <c r="F652" t="s">
        <v>29</v>
      </c>
      <c r="G652" t="s">
        <v>13</v>
      </c>
      <c r="H652" t="s">
        <v>14</v>
      </c>
      <c r="I652">
        <v>2</v>
      </c>
      <c r="J652" s="2">
        <v>18.989999999999998</v>
      </c>
      <c r="K652" s="2">
        <v>37.979999999999997</v>
      </c>
      <c r="L652">
        <v>3</v>
      </c>
      <c r="M652" t="str">
        <f>IF(Table1[[#This Row],[Customer Rating]]&gt;=3,"Good","Average")</f>
        <v>Good</v>
      </c>
    </row>
    <row r="653" spans="1:13" x14ac:dyDescent="0.25">
      <c r="A653" t="s">
        <v>703</v>
      </c>
      <c r="B653" s="4">
        <v>45388</v>
      </c>
      <c r="C653" s="4" t="str">
        <f>TEXT(Table1[[#This Row],[Order Date]],"mmm")</f>
        <v>Apr</v>
      </c>
      <c r="D653" s="4" t="str">
        <f>TEXT(Table1[[#This Row],[Order Date]],"yyyy")</f>
        <v>2024</v>
      </c>
      <c r="E653" t="s">
        <v>45</v>
      </c>
      <c r="F653" t="s">
        <v>17</v>
      </c>
      <c r="G653" t="s">
        <v>119</v>
      </c>
      <c r="H653" t="s">
        <v>19</v>
      </c>
      <c r="I653">
        <v>2</v>
      </c>
      <c r="J653" s="2">
        <v>4.99</v>
      </c>
      <c r="K653" s="2">
        <v>9.98</v>
      </c>
      <c r="L653">
        <v>5</v>
      </c>
      <c r="M653" t="str">
        <f>IF(Table1[[#This Row],[Customer Rating]]&gt;=3,"Good","Average")</f>
        <v>Good</v>
      </c>
    </row>
    <row r="654" spans="1:13" x14ac:dyDescent="0.25">
      <c r="A654" t="s">
        <v>704</v>
      </c>
      <c r="B654" s="4">
        <v>45441</v>
      </c>
      <c r="C654" s="4" t="str">
        <f>TEXT(Table1[[#This Row],[Order Date]],"mmm")</f>
        <v>May</v>
      </c>
      <c r="D654" s="4" t="str">
        <f>TEXT(Table1[[#This Row],[Order Date]],"yyyy")</f>
        <v>2024</v>
      </c>
      <c r="E654" t="s">
        <v>21</v>
      </c>
      <c r="F654" t="s">
        <v>12</v>
      </c>
      <c r="G654" t="s">
        <v>69</v>
      </c>
      <c r="H654" t="s">
        <v>67</v>
      </c>
      <c r="I654">
        <v>2</v>
      </c>
      <c r="J654" s="2">
        <v>8.99</v>
      </c>
      <c r="K654" s="2">
        <v>17.98</v>
      </c>
      <c r="L654">
        <v>5</v>
      </c>
      <c r="M654" t="str">
        <f>IF(Table1[[#This Row],[Customer Rating]]&gt;=3,"Good","Average")</f>
        <v>Good</v>
      </c>
    </row>
    <row r="655" spans="1:13" x14ac:dyDescent="0.25">
      <c r="A655" t="s">
        <v>705</v>
      </c>
      <c r="B655" s="4">
        <v>45444</v>
      </c>
      <c r="C655" s="4" t="str">
        <f>TEXT(Table1[[#This Row],[Order Date]],"mmm")</f>
        <v>Jun</v>
      </c>
      <c r="D655" s="4" t="str">
        <f>TEXT(Table1[[#This Row],[Order Date]],"yyyy")</f>
        <v>2024</v>
      </c>
      <c r="E655" t="s">
        <v>21</v>
      </c>
      <c r="F655" t="s">
        <v>12</v>
      </c>
      <c r="G655" t="s">
        <v>62</v>
      </c>
      <c r="H655" t="s">
        <v>23</v>
      </c>
      <c r="I655">
        <v>1</v>
      </c>
      <c r="J655" s="2">
        <v>9.99</v>
      </c>
      <c r="K655" s="2">
        <v>9.99</v>
      </c>
      <c r="L655">
        <v>4</v>
      </c>
      <c r="M655" t="str">
        <f>IF(Table1[[#This Row],[Customer Rating]]&gt;=3,"Good","Average")</f>
        <v>Good</v>
      </c>
    </row>
    <row r="656" spans="1:13" x14ac:dyDescent="0.25">
      <c r="A656" t="s">
        <v>706</v>
      </c>
      <c r="B656" s="4">
        <v>45956</v>
      </c>
      <c r="C656" s="4" t="str">
        <f>TEXT(Table1[[#This Row],[Order Date]],"mmm")</f>
        <v>Oct</v>
      </c>
      <c r="D656" s="4" t="str">
        <f>TEXT(Table1[[#This Row],[Order Date]],"yyyy")</f>
        <v>2025</v>
      </c>
      <c r="E656" t="s">
        <v>34</v>
      </c>
      <c r="F656" t="s">
        <v>29</v>
      </c>
      <c r="G656" t="s">
        <v>36</v>
      </c>
      <c r="H656" t="s">
        <v>14</v>
      </c>
      <c r="I656">
        <v>1</v>
      </c>
      <c r="J656" s="2">
        <v>16.989999999999998</v>
      </c>
      <c r="K656" s="2">
        <v>16.989999999999998</v>
      </c>
      <c r="L656">
        <v>4</v>
      </c>
      <c r="M656" t="str">
        <f>IF(Table1[[#This Row],[Customer Rating]]&gt;=3,"Good","Average")</f>
        <v>Good</v>
      </c>
    </row>
    <row r="657" spans="1:13" x14ac:dyDescent="0.25">
      <c r="A657" t="s">
        <v>707</v>
      </c>
      <c r="B657" s="4">
        <v>45822</v>
      </c>
      <c r="C657" s="4" t="str">
        <f>TEXT(Table1[[#This Row],[Order Date]],"mmm")</f>
        <v>Jun</v>
      </c>
      <c r="D657" s="4" t="str">
        <f>TEXT(Table1[[#This Row],[Order Date]],"yyyy")</f>
        <v>2025</v>
      </c>
      <c r="E657" t="s">
        <v>25</v>
      </c>
      <c r="F657" t="s">
        <v>29</v>
      </c>
      <c r="G657" t="s">
        <v>83</v>
      </c>
      <c r="H657" t="s">
        <v>14</v>
      </c>
      <c r="I657">
        <v>1</v>
      </c>
      <c r="J657" s="2">
        <v>17.989999999999998</v>
      </c>
      <c r="K657" s="2">
        <v>17.989999999999998</v>
      </c>
      <c r="L657">
        <v>3</v>
      </c>
      <c r="M657" t="str">
        <f>IF(Table1[[#This Row],[Customer Rating]]&gt;=3,"Good","Average")</f>
        <v>Good</v>
      </c>
    </row>
    <row r="658" spans="1:13" x14ac:dyDescent="0.25">
      <c r="A658" t="s">
        <v>708</v>
      </c>
      <c r="B658" s="4">
        <v>45656</v>
      </c>
      <c r="C658" s="4" t="str">
        <f>TEXT(Table1[[#This Row],[Order Date]],"mmm")</f>
        <v>Dec</v>
      </c>
      <c r="D658" s="4" t="str">
        <f>TEXT(Table1[[#This Row],[Order Date]],"yyyy")</f>
        <v>2024</v>
      </c>
      <c r="E658" t="s">
        <v>28</v>
      </c>
      <c r="F658" t="s">
        <v>17</v>
      </c>
      <c r="G658" t="s">
        <v>83</v>
      </c>
      <c r="H658" t="s">
        <v>14</v>
      </c>
      <c r="I658">
        <v>1</v>
      </c>
      <c r="J658" s="2">
        <v>17.989999999999998</v>
      </c>
      <c r="K658" s="2">
        <v>17.989999999999998</v>
      </c>
      <c r="L658">
        <v>4</v>
      </c>
      <c r="M658" t="str">
        <f>IF(Table1[[#This Row],[Customer Rating]]&gt;=3,"Good","Average")</f>
        <v>Good</v>
      </c>
    </row>
    <row r="659" spans="1:13" x14ac:dyDescent="0.25">
      <c r="A659" t="s">
        <v>709</v>
      </c>
      <c r="B659" s="4">
        <v>45473</v>
      </c>
      <c r="C659" s="4" t="str">
        <f>TEXT(Table1[[#This Row],[Order Date]],"mmm")</f>
        <v>Jun</v>
      </c>
      <c r="D659" s="4" t="str">
        <f>TEXT(Table1[[#This Row],[Order Date]],"yyyy")</f>
        <v>2024</v>
      </c>
      <c r="E659" t="s">
        <v>32</v>
      </c>
      <c r="F659" t="s">
        <v>17</v>
      </c>
      <c r="G659" t="s">
        <v>83</v>
      </c>
      <c r="H659" t="s">
        <v>14</v>
      </c>
      <c r="I659">
        <v>1</v>
      </c>
      <c r="J659" s="2">
        <v>17.989999999999998</v>
      </c>
      <c r="K659" s="2">
        <v>17.989999999999998</v>
      </c>
      <c r="L659">
        <v>5</v>
      </c>
      <c r="M659" t="str">
        <f>IF(Table1[[#This Row],[Customer Rating]]&gt;=3,"Good","Average")</f>
        <v>Good</v>
      </c>
    </row>
    <row r="660" spans="1:13" x14ac:dyDescent="0.25">
      <c r="A660" t="s">
        <v>710</v>
      </c>
      <c r="B660" s="4">
        <v>45333</v>
      </c>
      <c r="C660" s="4" t="str">
        <f>TEXT(Table1[[#This Row],[Order Date]],"mmm")</f>
        <v>Feb</v>
      </c>
      <c r="D660" s="4" t="str">
        <f>TEXT(Table1[[#This Row],[Order Date]],"yyyy")</f>
        <v>2024</v>
      </c>
      <c r="E660" t="s">
        <v>97</v>
      </c>
      <c r="F660" t="s">
        <v>12</v>
      </c>
      <c r="G660" t="s">
        <v>22</v>
      </c>
      <c r="H660" t="s">
        <v>23</v>
      </c>
      <c r="I660">
        <v>1</v>
      </c>
      <c r="J660" s="2">
        <v>8.99</v>
      </c>
      <c r="K660" s="2">
        <v>8.99</v>
      </c>
      <c r="L660">
        <v>4</v>
      </c>
      <c r="M660" t="str">
        <f>IF(Table1[[#This Row],[Customer Rating]]&gt;=3,"Good","Average")</f>
        <v>Good</v>
      </c>
    </row>
    <row r="661" spans="1:13" x14ac:dyDescent="0.25">
      <c r="A661" t="s">
        <v>711</v>
      </c>
      <c r="B661" s="4">
        <v>45993</v>
      </c>
      <c r="C661" s="4" t="str">
        <f>TEXT(Table1[[#This Row],[Order Date]],"mmm")</f>
        <v>Dec</v>
      </c>
      <c r="D661" s="4" t="str">
        <f>TEXT(Table1[[#This Row],[Order Date]],"yyyy")</f>
        <v>2025</v>
      </c>
      <c r="E661" t="s">
        <v>11</v>
      </c>
      <c r="F661" t="s">
        <v>29</v>
      </c>
      <c r="G661" t="s">
        <v>221</v>
      </c>
      <c r="H661" t="s">
        <v>67</v>
      </c>
      <c r="I661">
        <v>1</v>
      </c>
      <c r="J661" s="2">
        <v>9.99</v>
      </c>
      <c r="K661" s="2">
        <v>9.99</v>
      </c>
      <c r="L661">
        <v>2</v>
      </c>
      <c r="M661" t="str">
        <f>IF(Table1[[#This Row],[Customer Rating]]&gt;=3,"Good","Average")</f>
        <v>Average</v>
      </c>
    </row>
    <row r="662" spans="1:13" x14ac:dyDescent="0.25">
      <c r="A662" t="s">
        <v>712</v>
      </c>
      <c r="B662" s="4">
        <v>45294</v>
      </c>
      <c r="C662" s="4" t="str">
        <f>TEXT(Table1[[#This Row],[Order Date]],"mmm")</f>
        <v>Jan</v>
      </c>
      <c r="D662" s="4" t="str">
        <f>TEXT(Table1[[#This Row],[Order Date]],"yyyy")</f>
        <v>2024</v>
      </c>
      <c r="E662" t="s">
        <v>38</v>
      </c>
      <c r="F662" t="s">
        <v>12</v>
      </c>
      <c r="G662" t="s">
        <v>176</v>
      </c>
      <c r="H662" t="s">
        <v>67</v>
      </c>
      <c r="I662">
        <v>1</v>
      </c>
      <c r="J662" s="2">
        <v>11.99</v>
      </c>
      <c r="K662" s="2">
        <v>11.99</v>
      </c>
      <c r="L662">
        <v>3</v>
      </c>
      <c r="M662" t="str">
        <f>IF(Table1[[#This Row],[Customer Rating]]&gt;=3,"Good","Average")</f>
        <v>Good</v>
      </c>
    </row>
    <row r="663" spans="1:13" x14ac:dyDescent="0.25">
      <c r="A663" t="s">
        <v>713</v>
      </c>
      <c r="B663" s="4">
        <v>45403</v>
      </c>
      <c r="C663" s="4" t="str">
        <f>TEXT(Table1[[#This Row],[Order Date]],"mmm")</f>
        <v>Apr</v>
      </c>
      <c r="D663" s="4" t="str">
        <f>TEXT(Table1[[#This Row],[Order Date]],"yyyy")</f>
        <v>2024</v>
      </c>
      <c r="E663" t="s">
        <v>97</v>
      </c>
      <c r="F663" t="s">
        <v>29</v>
      </c>
      <c r="G663" t="s">
        <v>50</v>
      </c>
      <c r="H663" t="s">
        <v>14</v>
      </c>
      <c r="I663">
        <v>1</v>
      </c>
      <c r="J663" s="2">
        <v>22.99</v>
      </c>
      <c r="K663" s="2">
        <v>22.99</v>
      </c>
      <c r="L663">
        <v>4</v>
      </c>
      <c r="M663" t="str">
        <f>IF(Table1[[#This Row],[Customer Rating]]&gt;=3,"Good","Average")</f>
        <v>Good</v>
      </c>
    </row>
    <row r="664" spans="1:13" x14ac:dyDescent="0.25">
      <c r="A664" t="s">
        <v>714</v>
      </c>
      <c r="B664" s="4">
        <v>45672</v>
      </c>
      <c r="C664" s="4" t="str">
        <f>TEXT(Table1[[#This Row],[Order Date]],"mmm")</f>
        <v>Jan</v>
      </c>
      <c r="D664" s="4" t="str">
        <f>TEXT(Table1[[#This Row],[Order Date]],"yyyy")</f>
        <v>2025</v>
      </c>
      <c r="E664" t="s">
        <v>16</v>
      </c>
      <c r="F664" t="s">
        <v>17</v>
      </c>
      <c r="G664" t="s">
        <v>39</v>
      </c>
      <c r="H664" t="s">
        <v>14</v>
      </c>
      <c r="I664">
        <v>2</v>
      </c>
      <c r="J664" s="2">
        <v>24.99</v>
      </c>
      <c r="K664" s="2">
        <v>49.98</v>
      </c>
      <c r="L664">
        <v>3</v>
      </c>
      <c r="M664" t="str">
        <f>IF(Table1[[#This Row],[Customer Rating]]&gt;=3,"Good","Average")</f>
        <v>Good</v>
      </c>
    </row>
    <row r="665" spans="1:13" x14ac:dyDescent="0.25">
      <c r="A665" t="s">
        <v>715</v>
      </c>
      <c r="B665" s="4">
        <v>45694</v>
      </c>
      <c r="C665" s="4" t="str">
        <f>TEXT(Table1[[#This Row],[Order Date]],"mmm")</f>
        <v>Feb</v>
      </c>
      <c r="D665" s="4" t="str">
        <f>TEXT(Table1[[#This Row],[Order Date]],"yyyy")</f>
        <v>2025</v>
      </c>
      <c r="E665" t="s">
        <v>28</v>
      </c>
      <c r="F665" t="s">
        <v>17</v>
      </c>
      <c r="G665" t="s">
        <v>66</v>
      </c>
      <c r="H665" t="s">
        <v>67</v>
      </c>
      <c r="I665">
        <v>1</v>
      </c>
      <c r="J665" s="2">
        <v>7.99</v>
      </c>
      <c r="K665" s="2">
        <v>7.99</v>
      </c>
      <c r="L665">
        <v>5</v>
      </c>
      <c r="M665" t="str">
        <f>IF(Table1[[#This Row],[Customer Rating]]&gt;=3,"Good","Average")</f>
        <v>Good</v>
      </c>
    </row>
    <row r="666" spans="1:13" x14ac:dyDescent="0.25">
      <c r="A666" t="s">
        <v>716</v>
      </c>
      <c r="B666" s="4">
        <v>45672</v>
      </c>
      <c r="C666" s="4" t="str">
        <f>TEXT(Table1[[#This Row],[Order Date]],"mmm")</f>
        <v>Jan</v>
      </c>
      <c r="D666" s="4" t="str">
        <f>TEXT(Table1[[#This Row],[Order Date]],"yyyy")</f>
        <v>2025</v>
      </c>
      <c r="E666" t="s">
        <v>45</v>
      </c>
      <c r="F666" t="s">
        <v>29</v>
      </c>
      <c r="G666" t="s">
        <v>36</v>
      </c>
      <c r="H666" t="s">
        <v>14</v>
      </c>
      <c r="I666">
        <v>1</v>
      </c>
      <c r="J666" s="2">
        <v>16.989999999999998</v>
      </c>
      <c r="K666" s="2">
        <v>16.989999999999998</v>
      </c>
      <c r="L666">
        <v>4</v>
      </c>
      <c r="M666" t="str">
        <f>IF(Table1[[#This Row],[Customer Rating]]&gt;=3,"Good","Average")</f>
        <v>Good</v>
      </c>
    </row>
    <row r="667" spans="1:13" x14ac:dyDescent="0.25">
      <c r="A667" t="s">
        <v>717</v>
      </c>
      <c r="B667" s="4">
        <v>45473</v>
      </c>
      <c r="C667" s="4" t="str">
        <f>TEXT(Table1[[#This Row],[Order Date]],"mmm")</f>
        <v>Jun</v>
      </c>
      <c r="D667" s="4" t="str">
        <f>TEXT(Table1[[#This Row],[Order Date]],"yyyy")</f>
        <v>2024</v>
      </c>
      <c r="E667" t="s">
        <v>28</v>
      </c>
      <c r="F667" t="s">
        <v>12</v>
      </c>
      <c r="G667" t="s">
        <v>13</v>
      </c>
      <c r="H667" t="s">
        <v>14</v>
      </c>
      <c r="I667">
        <v>1</v>
      </c>
      <c r="J667" s="2">
        <v>18.989999999999998</v>
      </c>
      <c r="K667" s="2">
        <v>18.989999999999998</v>
      </c>
      <c r="L667">
        <v>4</v>
      </c>
      <c r="M667" t="str">
        <f>IF(Table1[[#This Row],[Customer Rating]]&gt;=3,"Good","Average")</f>
        <v>Good</v>
      </c>
    </row>
    <row r="668" spans="1:13" x14ac:dyDescent="0.25">
      <c r="A668" t="s">
        <v>718</v>
      </c>
      <c r="B668" s="4">
        <v>45919</v>
      </c>
      <c r="C668" s="4" t="str">
        <f>TEXT(Table1[[#This Row],[Order Date]],"mmm")</f>
        <v>Sep</v>
      </c>
      <c r="D668" s="4" t="str">
        <f>TEXT(Table1[[#This Row],[Order Date]],"yyyy")</f>
        <v>2025</v>
      </c>
      <c r="E668" t="s">
        <v>32</v>
      </c>
      <c r="F668" t="s">
        <v>17</v>
      </c>
      <c r="G668" t="s">
        <v>119</v>
      </c>
      <c r="H668" t="s">
        <v>19</v>
      </c>
      <c r="I668">
        <v>4</v>
      </c>
      <c r="J668" s="2">
        <v>4.99</v>
      </c>
      <c r="K668" s="2">
        <v>19.96</v>
      </c>
      <c r="L668">
        <v>4</v>
      </c>
      <c r="M668" t="str">
        <f>IF(Table1[[#This Row],[Customer Rating]]&gt;=3,"Good","Average")</f>
        <v>Good</v>
      </c>
    </row>
    <row r="669" spans="1:13" x14ac:dyDescent="0.25">
      <c r="A669" t="s">
        <v>719</v>
      </c>
      <c r="B669" s="4">
        <v>45968</v>
      </c>
      <c r="C669" s="4" t="str">
        <f>TEXT(Table1[[#This Row],[Order Date]],"mmm")</f>
        <v>Nov</v>
      </c>
      <c r="D669" s="4" t="str">
        <f>TEXT(Table1[[#This Row],[Order Date]],"yyyy")</f>
        <v>2025</v>
      </c>
      <c r="E669" t="s">
        <v>25</v>
      </c>
      <c r="F669" t="s">
        <v>17</v>
      </c>
      <c r="G669" t="s">
        <v>50</v>
      </c>
      <c r="H669" t="s">
        <v>14</v>
      </c>
      <c r="I669">
        <v>1</v>
      </c>
      <c r="J669" s="2">
        <v>22.99</v>
      </c>
      <c r="K669" s="2">
        <v>22.99</v>
      </c>
      <c r="L669">
        <v>3</v>
      </c>
      <c r="M669" t="str">
        <f>IF(Table1[[#This Row],[Customer Rating]]&gt;=3,"Good","Average")</f>
        <v>Good</v>
      </c>
    </row>
    <row r="670" spans="1:13" x14ac:dyDescent="0.25">
      <c r="A670" t="s">
        <v>720</v>
      </c>
      <c r="B670" s="4">
        <v>45902</v>
      </c>
      <c r="C670" s="4" t="str">
        <f>TEXT(Table1[[#This Row],[Order Date]],"mmm")</f>
        <v>Sep</v>
      </c>
      <c r="D670" s="4" t="str">
        <f>TEXT(Table1[[#This Row],[Order Date]],"yyyy")</f>
        <v>2025</v>
      </c>
      <c r="E670" t="s">
        <v>34</v>
      </c>
      <c r="F670" t="s">
        <v>29</v>
      </c>
      <c r="G670" t="s">
        <v>221</v>
      </c>
      <c r="H670" t="s">
        <v>67</v>
      </c>
      <c r="I670">
        <v>1</v>
      </c>
      <c r="J670" s="2">
        <v>9.99</v>
      </c>
      <c r="K670" s="2">
        <v>9.99</v>
      </c>
      <c r="L670">
        <v>3</v>
      </c>
      <c r="M670" t="str">
        <f>IF(Table1[[#This Row],[Customer Rating]]&gt;=3,"Good","Average")</f>
        <v>Good</v>
      </c>
    </row>
    <row r="671" spans="1:13" x14ac:dyDescent="0.25">
      <c r="A671" t="s">
        <v>721</v>
      </c>
      <c r="B671" s="4">
        <v>45554</v>
      </c>
      <c r="C671" s="4" t="str">
        <f>TEXT(Table1[[#This Row],[Order Date]],"mmm")</f>
        <v>Sep</v>
      </c>
      <c r="D671" s="4" t="str">
        <f>TEXT(Table1[[#This Row],[Order Date]],"yyyy")</f>
        <v>2024</v>
      </c>
      <c r="E671" t="s">
        <v>16</v>
      </c>
      <c r="F671" t="s">
        <v>17</v>
      </c>
      <c r="G671" t="s">
        <v>79</v>
      </c>
      <c r="H671" t="s">
        <v>67</v>
      </c>
      <c r="I671">
        <v>1</v>
      </c>
      <c r="J671" s="2">
        <v>10.99</v>
      </c>
      <c r="K671" s="2">
        <v>10.99</v>
      </c>
      <c r="L671">
        <v>3</v>
      </c>
      <c r="M671" t="str">
        <f>IF(Table1[[#This Row],[Customer Rating]]&gt;=3,"Good","Average")</f>
        <v>Good</v>
      </c>
    </row>
    <row r="672" spans="1:13" x14ac:dyDescent="0.25">
      <c r="A672" t="s">
        <v>722</v>
      </c>
      <c r="B672" s="4">
        <v>45757</v>
      </c>
      <c r="C672" s="4" t="str">
        <f>TEXT(Table1[[#This Row],[Order Date]],"mmm")</f>
        <v>Apr</v>
      </c>
      <c r="D672" s="4" t="str">
        <f>TEXT(Table1[[#This Row],[Order Date]],"yyyy")</f>
        <v>2025</v>
      </c>
      <c r="E672" t="s">
        <v>34</v>
      </c>
      <c r="F672" t="s">
        <v>29</v>
      </c>
      <c r="G672" t="s">
        <v>176</v>
      </c>
      <c r="H672" t="s">
        <v>67</v>
      </c>
      <c r="I672">
        <v>1</v>
      </c>
      <c r="J672" s="2">
        <v>11.99</v>
      </c>
      <c r="K672" s="2">
        <v>11.99</v>
      </c>
      <c r="L672">
        <v>4</v>
      </c>
      <c r="M672" t="str">
        <f>IF(Table1[[#This Row],[Customer Rating]]&gt;=3,"Good","Average")</f>
        <v>Good</v>
      </c>
    </row>
    <row r="673" spans="1:13" x14ac:dyDescent="0.25">
      <c r="A673" t="s">
        <v>723</v>
      </c>
      <c r="B673" s="4">
        <v>45720</v>
      </c>
      <c r="C673" s="4" t="str">
        <f>TEXT(Table1[[#This Row],[Order Date]],"mmm")</f>
        <v>Mar</v>
      </c>
      <c r="D673" s="4" t="str">
        <f>TEXT(Table1[[#This Row],[Order Date]],"yyyy")</f>
        <v>2025</v>
      </c>
      <c r="E673" t="s">
        <v>21</v>
      </c>
      <c r="F673" t="s">
        <v>12</v>
      </c>
      <c r="G673" t="s">
        <v>74</v>
      </c>
      <c r="H673" t="s">
        <v>14</v>
      </c>
      <c r="I673">
        <v>1</v>
      </c>
      <c r="J673" s="2">
        <v>14.99</v>
      </c>
      <c r="K673" s="2">
        <v>14.99</v>
      </c>
      <c r="L673">
        <v>5</v>
      </c>
      <c r="M673" t="str">
        <f>IF(Table1[[#This Row],[Customer Rating]]&gt;=3,"Good","Average")</f>
        <v>Good</v>
      </c>
    </row>
    <row r="674" spans="1:13" x14ac:dyDescent="0.25">
      <c r="A674" t="s">
        <v>724</v>
      </c>
      <c r="B674" s="4">
        <v>45941</v>
      </c>
      <c r="C674" s="4" t="str">
        <f>TEXT(Table1[[#This Row],[Order Date]],"mmm")</f>
        <v>Oct</v>
      </c>
      <c r="D674" s="4" t="str">
        <f>TEXT(Table1[[#This Row],[Order Date]],"yyyy")</f>
        <v>2025</v>
      </c>
      <c r="E674" t="s">
        <v>25</v>
      </c>
      <c r="F674" t="s">
        <v>17</v>
      </c>
      <c r="G674" t="s">
        <v>69</v>
      </c>
      <c r="H674" t="s">
        <v>67</v>
      </c>
      <c r="I674">
        <v>3</v>
      </c>
      <c r="J674" s="2">
        <v>8.99</v>
      </c>
      <c r="K674" s="2">
        <v>26.97</v>
      </c>
      <c r="L674">
        <v>3</v>
      </c>
      <c r="M674" t="str">
        <f>IF(Table1[[#This Row],[Customer Rating]]&gt;=3,"Good","Average")</f>
        <v>Good</v>
      </c>
    </row>
    <row r="675" spans="1:13" x14ac:dyDescent="0.25">
      <c r="A675" t="s">
        <v>725</v>
      </c>
      <c r="B675" s="4">
        <v>45647</v>
      </c>
      <c r="C675" s="4" t="str">
        <f>TEXT(Table1[[#This Row],[Order Date]],"mmm")</f>
        <v>Dec</v>
      </c>
      <c r="D675" s="4" t="str">
        <f>TEXT(Table1[[#This Row],[Order Date]],"yyyy")</f>
        <v>2024</v>
      </c>
      <c r="E675" t="s">
        <v>32</v>
      </c>
      <c r="F675" t="s">
        <v>29</v>
      </c>
      <c r="G675" t="s">
        <v>46</v>
      </c>
      <c r="H675" t="s">
        <v>14</v>
      </c>
      <c r="I675">
        <v>4</v>
      </c>
      <c r="J675" s="2">
        <v>32.99</v>
      </c>
      <c r="K675" s="2">
        <v>131.96</v>
      </c>
      <c r="L675">
        <v>5</v>
      </c>
      <c r="M675" t="str">
        <f>IF(Table1[[#This Row],[Customer Rating]]&gt;=3,"Good","Average")</f>
        <v>Good</v>
      </c>
    </row>
    <row r="676" spans="1:13" x14ac:dyDescent="0.25">
      <c r="A676" t="s">
        <v>726</v>
      </c>
      <c r="B676" s="4">
        <v>45297</v>
      </c>
      <c r="C676" s="4" t="str">
        <f>TEXT(Table1[[#This Row],[Order Date]],"mmm")</f>
        <v>Jan</v>
      </c>
      <c r="D676" s="4" t="str">
        <f>TEXT(Table1[[#This Row],[Order Date]],"yyyy")</f>
        <v>2024</v>
      </c>
      <c r="E676" t="s">
        <v>28</v>
      </c>
      <c r="F676" t="s">
        <v>12</v>
      </c>
      <c r="G676" t="s">
        <v>221</v>
      </c>
      <c r="H676" t="s">
        <v>67</v>
      </c>
      <c r="I676">
        <v>2</v>
      </c>
      <c r="J676" s="2">
        <v>9.99</v>
      </c>
      <c r="K676" s="2">
        <v>19.98</v>
      </c>
      <c r="L676">
        <v>4</v>
      </c>
      <c r="M676" t="str">
        <f>IF(Table1[[#This Row],[Customer Rating]]&gt;=3,"Good","Average")</f>
        <v>Good</v>
      </c>
    </row>
    <row r="677" spans="1:13" x14ac:dyDescent="0.25">
      <c r="A677" t="s">
        <v>727</v>
      </c>
      <c r="B677" s="4">
        <v>45971</v>
      </c>
      <c r="C677" s="4" t="str">
        <f>TEXT(Table1[[#This Row],[Order Date]],"mmm")</f>
        <v>Nov</v>
      </c>
      <c r="D677" s="4" t="str">
        <f>TEXT(Table1[[#This Row],[Order Date]],"yyyy")</f>
        <v>2025</v>
      </c>
      <c r="E677" t="s">
        <v>21</v>
      </c>
      <c r="F677" t="s">
        <v>29</v>
      </c>
      <c r="G677" t="s">
        <v>43</v>
      </c>
      <c r="H677" t="s">
        <v>23</v>
      </c>
      <c r="I677">
        <v>2</v>
      </c>
      <c r="J677" s="2">
        <v>11.99</v>
      </c>
      <c r="K677" s="2">
        <v>23.98</v>
      </c>
      <c r="L677">
        <v>4</v>
      </c>
      <c r="M677" t="str">
        <f>IF(Table1[[#This Row],[Customer Rating]]&gt;=3,"Good","Average")</f>
        <v>Good</v>
      </c>
    </row>
    <row r="678" spans="1:13" x14ac:dyDescent="0.25">
      <c r="A678" t="s">
        <v>728</v>
      </c>
      <c r="B678" s="4">
        <v>45453</v>
      </c>
      <c r="C678" s="4" t="str">
        <f>TEXT(Table1[[#This Row],[Order Date]],"mmm")</f>
        <v>Jun</v>
      </c>
      <c r="D678" s="4" t="str">
        <f>TEXT(Table1[[#This Row],[Order Date]],"yyyy")</f>
        <v>2024</v>
      </c>
      <c r="E678" t="s">
        <v>45</v>
      </c>
      <c r="F678" t="s">
        <v>12</v>
      </c>
      <c r="G678" t="s">
        <v>142</v>
      </c>
      <c r="H678" t="s">
        <v>23</v>
      </c>
      <c r="I678">
        <v>2</v>
      </c>
      <c r="J678" s="2">
        <v>14.99</v>
      </c>
      <c r="K678" s="2">
        <v>29.98</v>
      </c>
      <c r="L678">
        <v>4</v>
      </c>
      <c r="M678" t="str">
        <f>IF(Table1[[#This Row],[Customer Rating]]&gt;=3,"Good","Average")</f>
        <v>Good</v>
      </c>
    </row>
    <row r="679" spans="1:13" x14ac:dyDescent="0.25">
      <c r="A679" t="s">
        <v>729</v>
      </c>
      <c r="B679" s="4">
        <v>45611</v>
      </c>
      <c r="C679" s="4" t="str">
        <f>TEXT(Table1[[#This Row],[Order Date]],"mmm")</f>
        <v>Nov</v>
      </c>
      <c r="D679" s="4" t="str">
        <f>TEXT(Table1[[#This Row],[Order Date]],"yyyy")</f>
        <v>2024</v>
      </c>
      <c r="E679" t="s">
        <v>25</v>
      </c>
      <c r="F679" t="s">
        <v>12</v>
      </c>
      <c r="G679" t="s">
        <v>39</v>
      </c>
      <c r="H679" t="s">
        <v>14</v>
      </c>
      <c r="I679">
        <v>3</v>
      </c>
      <c r="J679" s="2">
        <v>24.99</v>
      </c>
      <c r="K679" s="2">
        <v>74.97</v>
      </c>
      <c r="L679">
        <v>5</v>
      </c>
      <c r="M679" t="str">
        <f>IF(Table1[[#This Row],[Customer Rating]]&gt;=3,"Good","Average")</f>
        <v>Good</v>
      </c>
    </row>
    <row r="680" spans="1:13" x14ac:dyDescent="0.25">
      <c r="A680" t="s">
        <v>730</v>
      </c>
      <c r="B680" s="4">
        <v>45823</v>
      </c>
      <c r="C680" s="4" t="str">
        <f>TEXT(Table1[[#This Row],[Order Date]],"mmm")</f>
        <v>Jun</v>
      </c>
      <c r="D680" s="4" t="str">
        <f>TEXT(Table1[[#This Row],[Order Date]],"yyyy")</f>
        <v>2025</v>
      </c>
      <c r="E680" t="s">
        <v>32</v>
      </c>
      <c r="F680" t="s">
        <v>17</v>
      </c>
      <c r="G680" t="s">
        <v>112</v>
      </c>
      <c r="H680" t="s">
        <v>19</v>
      </c>
      <c r="I680">
        <v>1</v>
      </c>
      <c r="J680" s="2">
        <v>5.99</v>
      </c>
      <c r="K680" s="2">
        <v>5.99</v>
      </c>
      <c r="L680">
        <v>2</v>
      </c>
      <c r="M680" t="str">
        <f>IF(Table1[[#This Row],[Customer Rating]]&gt;=3,"Good","Average")</f>
        <v>Average</v>
      </c>
    </row>
    <row r="681" spans="1:13" x14ac:dyDescent="0.25">
      <c r="A681" t="s">
        <v>731</v>
      </c>
      <c r="B681" s="4">
        <v>45835</v>
      </c>
      <c r="C681" s="4" t="str">
        <f>TEXT(Table1[[#This Row],[Order Date]],"mmm")</f>
        <v>Jun</v>
      </c>
      <c r="D681" s="4" t="str">
        <f>TEXT(Table1[[#This Row],[Order Date]],"yyyy")</f>
        <v>2025</v>
      </c>
      <c r="E681" t="s">
        <v>34</v>
      </c>
      <c r="F681" t="s">
        <v>12</v>
      </c>
      <c r="G681" t="s">
        <v>62</v>
      </c>
      <c r="H681" t="s">
        <v>23</v>
      </c>
      <c r="I681">
        <v>4</v>
      </c>
      <c r="J681" s="2">
        <v>9.99</v>
      </c>
      <c r="K681" s="2">
        <v>39.96</v>
      </c>
      <c r="L681">
        <v>5</v>
      </c>
      <c r="M681" t="str">
        <f>IF(Table1[[#This Row],[Customer Rating]]&gt;=3,"Good","Average")</f>
        <v>Good</v>
      </c>
    </row>
    <row r="682" spans="1:13" x14ac:dyDescent="0.25">
      <c r="A682" t="s">
        <v>732</v>
      </c>
      <c r="B682" s="4">
        <v>45782</v>
      </c>
      <c r="C682" s="4" t="str">
        <f>TEXT(Table1[[#This Row],[Order Date]],"mmm")</f>
        <v>May</v>
      </c>
      <c r="D682" s="4" t="str">
        <f>TEXT(Table1[[#This Row],[Order Date]],"yyyy")</f>
        <v>2025</v>
      </c>
      <c r="E682" t="s">
        <v>32</v>
      </c>
      <c r="F682" t="s">
        <v>29</v>
      </c>
      <c r="G682" t="s">
        <v>26</v>
      </c>
      <c r="H682" t="s">
        <v>19</v>
      </c>
      <c r="I682">
        <v>1</v>
      </c>
      <c r="J682" s="2">
        <v>3.49</v>
      </c>
      <c r="K682" s="2">
        <v>3.49</v>
      </c>
      <c r="L682">
        <v>4</v>
      </c>
      <c r="M682" t="str">
        <f>IF(Table1[[#This Row],[Customer Rating]]&gt;=3,"Good","Average")</f>
        <v>Good</v>
      </c>
    </row>
    <row r="683" spans="1:13" x14ac:dyDescent="0.25">
      <c r="A683" t="s">
        <v>733</v>
      </c>
      <c r="B683" s="4">
        <v>45646</v>
      </c>
      <c r="C683" s="4" t="str">
        <f>TEXT(Table1[[#This Row],[Order Date]],"mmm")</f>
        <v>Dec</v>
      </c>
      <c r="D683" s="4" t="str">
        <f>TEXT(Table1[[#This Row],[Order Date]],"yyyy")</f>
        <v>2024</v>
      </c>
      <c r="E683" t="s">
        <v>16</v>
      </c>
      <c r="F683" t="s">
        <v>12</v>
      </c>
      <c r="G683" t="s">
        <v>41</v>
      </c>
      <c r="H683" t="s">
        <v>23</v>
      </c>
      <c r="I683">
        <v>1</v>
      </c>
      <c r="J683" s="2">
        <v>12.99</v>
      </c>
      <c r="K683" s="2">
        <v>12.99</v>
      </c>
      <c r="L683">
        <v>4</v>
      </c>
      <c r="M683" t="str">
        <f>IF(Table1[[#This Row],[Customer Rating]]&gt;=3,"Good","Average")</f>
        <v>Good</v>
      </c>
    </row>
    <row r="684" spans="1:13" x14ac:dyDescent="0.25">
      <c r="A684" t="s">
        <v>734</v>
      </c>
      <c r="B684" s="4">
        <v>46000</v>
      </c>
      <c r="C684" s="4" t="str">
        <f>TEXT(Table1[[#This Row],[Order Date]],"mmm")</f>
        <v>Dec</v>
      </c>
      <c r="D684" s="4" t="str">
        <f>TEXT(Table1[[#This Row],[Order Date]],"yyyy")</f>
        <v>2025</v>
      </c>
      <c r="E684" t="s">
        <v>34</v>
      </c>
      <c r="F684" t="s">
        <v>29</v>
      </c>
      <c r="G684" t="s">
        <v>41</v>
      </c>
      <c r="H684" t="s">
        <v>23</v>
      </c>
      <c r="I684">
        <v>2</v>
      </c>
      <c r="J684" s="2">
        <v>12.99</v>
      </c>
      <c r="K684" s="2">
        <v>25.98</v>
      </c>
      <c r="L684">
        <v>5</v>
      </c>
      <c r="M684" t="str">
        <f>IF(Table1[[#This Row],[Customer Rating]]&gt;=3,"Good","Average")</f>
        <v>Good</v>
      </c>
    </row>
    <row r="685" spans="1:13" x14ac:dyDescent="0.25">
      <c r="A685" t="s">
        <v>735</v>
      </c>
      <c r="B685" s="4">
        <v>45909</v>
      </c>
      <c r="C685" s="4" t="str">
        <f>TEXT(Table1[[#This Row],[Order Date]],"mmm")</f>
        <v>Sep</v>
      </c>
      <c r="D685" s="4" t="str">
        <f>TEXT(Table1[[#This Row],[Order Date]],"yyyy")</f>
        <v>2025</v>
      </c>
      <c r="E685" t="s">
        <v>21</v>
      </c>
      <c r="F685" t="s">
        <v>29</v>
      </c>
      <c r="G685" t="s">
        <v>26</v>
      </c>
      <c r="H685" t="s">
        <v>19</v>
      </c>
      <c r="I685">
        <v>1</v>
      </c>
      <c r="J685" s="2">
        <v>3.49</v>
      </c>
      <c r="K685" s="2">
        <v>3.49</v>
      </c>
      <c r="L685">
        <v>5</v>
      </c>
      <c r="M685" t="str">
        <f>IF(Table1[[#This Row],[Customer Rating]]&gt;=3,"Good","Average")</f>
        <v>Good</v>
      </c>
    </row>
    <row r="686" spans="1:13" x14ac:dyDescent="0.25">
      <c r="A686" t="s">
        <v>736</v>
      </c>
      <c r="B686" s="4">
        <v>45643</v>
      </c>
      <c r="C686" s="4" t="str">
        <f>TEXT(Table1[[#This Row],[Order Date]],"mmm")</f>
        <v>Dec</v>
      </c>
      <c r="D686" s="4" t="str">
        <f>TEXT(Table1[[#This Row],[Order Date]],"yyyy")</f>
        <v>2024</v>
      </c>
      <c r="E686" t="s">
        <v>21</v>
      </c>
      <c r="F686" t="s">
        <v>12</v>
      </c>
      <c r="G686" t="s">
        <v>57</v>
      </c>
      <c r="H686" t="s">
        <v>14</v>
      </c>
      <c r="I686">
        <v>2</v>
      </c>
      <c r="J686" s="2">
        <v>15.99</v>
      </c>
      <c r="K686" s="2">
        <v>31.98</v>
      </c>
      <c r="L686">
        <v>5</v>
      </c>
      <c r="M686" t="str">
        <f>IF(Table1[[#This Row],[Customer Rating]]&gt;=3,"Good","Average")</f>
        <v>Good</v>
      </c>
    </row>
    <row r="687" spans="1:13" x14ac:dyDescent="0.25">
      <c r="A687" t="s">
        <v>737</v>
      </c>
      <c r="B687" s="4">
        <v>45814</v>
      </c>
      <c r="C687" s="4" t="str">
        <f>TEXT(Table1[[#This Row],[Order Date]],"mmm")</f>
        <v>Jun</v>
      </c>
      <c r="D687" s="4" t="str">
        <f>TEXT(Table1[[#This Row],[Order Date]],"yyyy")</f>
        <v>2025</v>
      </c>
      <c r="E687" t="s">
        <v>38</v>
      </c>
      <c r="F687" t="s">
        <v>12</v>
      </c>
      <c r="G687" t="s">
        <v>30</v>
      </c>
      <c r="H687" t="s">
        <v>19</v>
      </c>
      <c r="I687">
        <v>2</v>
      </c>
      <c r="J687" s="2">
        <v>7.99</v>
      </c>
      <c r="K687" s="2">
        <v>15.98</v>
      </c>
      <c r="L687">
        <v>5</v>
      </c>
      <c r="M687" t="str">
        <f>IF(Table1[[#This Row],[Customer Rating]]&gt;=3,"Good","Average")</f>
        <v>Good</v>
      </c>
    </row>
    <row r="688" spans="1:13" x14ac:dyDescent="0.25">
      <c r="A688" t="s">
        <v>738</v>
      </c>
      <c r="B688" s="4">
        <v>45395</v>
      </c>
      <c r="C688" s="4" t="str">
        <f>TEXT(Table1[[#This Row],[Order Date]],"mmm")</f>
        <v>Apr</v>
      </c>
      <c r="D688" s="4" t="str">
        <f>TEXT(Table1[[#This Row],[Order Date]],"yyyy")</f>
        <v>2024</v>
      </c>
      <c r="E688" t="s">
        <v>32</v>
      </c>
      <c r="F688" t="s">
        <v>29</v>
      </c>
      <c r="G688" t="s">
        <v>50</v>
      </c>
      <c r="H688" t="s">
        <v>14</v>
      </c>
      <c r="I688">
        <v>2</v>
      </c>
      <c r="J688" s="2">
        <v>22.99</v>
      </c>
      <c r="K688" s="2">
        <v>45.98</v>
      </c>
      <c r="L688">
        <v>4</v>
      </c>
      <c r="M688" t="str">
        <f>IF(Table1[[#This Row],[Customer Rating]]&gt;=3,"Good","Average")</f>
        <v>Good</v>
      </c>
    </row>
    <row r="689" spans="1:13" x14ac:dyDescent="0.25">
      <c r="A689" t="s">
        <v>739</v>
      </c>
      <c r="B689" s="4">
        <v>45892</v>
      </c>
      <c r="C689" s="4" t="str">
        <f>TEXT(Table1[[#This Row],[Order Date]],"mmm")</f>
        <v>Aug</v>
      </c>
      <c r="D689" s="4" t="str">
        <f>TEXT(Table1[[#This Row],[Order Date]],"yyyy")</f>
        <v>2025</v>
      </c>
      <c r="E689" t="s">
        <v>11</v>
      </c>
      <c r="F689" t="s">
        <v>29</v>
      </c>
      <c r="G689" t="s">
        <v>83</v>
      </c>
      <c r="H689" t="s">
        <v>14</v>
      </c>
      <c r="I689">
        <v>1</v>
      </c>
      <c r="J689" s="2">
        <v>17.989999999999998</v>
      </c>
      <c r="K689" s="2">
        <v>17.989999999999998</v>
      </c>
      <c r="L689">
        <v>3</v>
      </c>
      <c r="M689" t="str">
        <f>IF(Table1[[#This Row],[Customer Rating]]&gt;=3,"Good","Average")</f>
        <v>Good</v>
      </c>
    </row>
    <row r="690" spans="1:13" x14ac:dyDescent="0.25">
      <c r="A690" t="s">
        <v>740</v>
      </c>
      <c r="B690" s="4">
        <v>45895</v>
      </c>
      <c r="C690" s="4" t="str">
        <f>TEXT(Table1[[#This Row],[Order Date]],"mmm")</f>
        <v>Aug</v>
      </c>
      <c r="D690" s="4" t="str">
        <f>TEXT(Table1[[#This Row],[Order Date]],"yyyy")</f>
        <v>2025</v>
      </c>
      <c r="E690" t="s">
        <v>97</v>
      </c>
      <c r="F690" t="s">
        <v>12</v>
      </c>
      <c r="G690" t="s">
        <v>55</v>
      </c>
      <c r="H690" t="s">
        <v>23</v>
      </c>
      <c r="I690">
        <v>1</v>
      </c>
      <c r="J690" s="2">
        <v>10.99</v>
      </c>
      <c r="K690" s="2">
        <v>10.99</v>
      </c>
      <c r="L690">
        <v>3</v>
      </c>
      <c r="M690" t="str">
        <f>IF(Table1[[#This Row],[Customer Rating]]&gt;=3,"Good","Average")</f>
        <v>Good</v>
      </c>
    </row>
    <row r="691" spans="1:13" x14ac:dyDescent="0.25">
      <c r="A691" t="s">
        <v>741</v>
      </c>
      <c r="B691" s="4">
        <v>45878</v>
      </c>
      <c r="C691" s="4" t="str">
        <f>TEXT(Table1[[#This Row],[Order Date]],"mmm")</f>
        <v>Aug</v>
      </c>
      <c r="D691" s="4" t="str">
        <f>TEXT(Table1[[#This Row],[Order Date]],"yyyy")</f>
        <v>2025</v>
      </c>
      <c r="E691" t="s">
        <v>32</v>
      </c>
      <c r="F691" t="s">
        <v>17</v>
      </c>
      <c r="G691" t="s">
        <v>18</v>
      </c>
      <c r="H691" t="s">
        <v>19</v>
      </c>
      <c r="I691">
        <v>2</v>
      </c>
      <c r="J691" s="2">
        <v>9.99</v>
      </c>
      <c r="K691" s="2">
        <v>19.98</v>
      </c>
      <c r="L691">
        <v>5</v>
      </c>
      <c r="M691" t="str">
        <f>IF(Table1[[#This Row],[Customer Rating]]&gt;=3,"Good","Average")</f>
        <v>Good</v>
      </c>
    </row>
    <row r="692" spans="1:13" x14ac:dyDescent="0.25">
      <c r="A692" t="s">
        <v>742</v>
      </c>
      <c r="B692" s="4">
        <v>45903</v>
      </c>
      <c r="C692" s="4" t="str">
        <f>TEXT(Table1[[#This Row],[Order Date]],"mmm")</f>
        <v>Sep</v>
      </c>
      <c r="D692" s="4" t="str">
        <f>TEXT(Table1[[#This Row],[Order Date]],"yyyy")</f>
        <v>2025</v>
      </c>
      <c r="E692" t="s">
        <v>25</v>
      </c>
      <c r="F692" t="s">
        <v>17</v>
      </c>
      <c r="G692" t="s">
        <v>66</v>
      </c>
      <c r="H692" t="s">
        <v>67</v>
      </c>
      <c r="I692">
        <v>3</v>
      </c>
      <c r="J692" s="2">
        <v>7.99</v>
      </c>
      <c r="K692" s="2">
        <v>23.97</v>
      </c>
      <c r="L692">
        <v>5</v>
      </c>
      <c r="M692" t="str">
        <f>IF(Table1[[#This Row],[Customer Rating]]&gt;=3,"Good","Average")</f>
        <v>Good</v>
      </c>
    </row>
    <row r="693" spans="1:13" x14ac:dyDescent="0.25">
      <c r="A693" t="s">
        <v>743</v>
      </c>
      <c r="B693" s="4">
        <v>45816</v>
      </c>
      <c r="C693" s="4" t="str">
        <f>TEXT(Table1[[#This Row],[Order Date]],"mmm")</f>
        <v>Jun</v>
      </c>
      <c r="D693" s="4" t="str">
        <f>TEXT(Table1[[#This Row],[Order Date]],"yyyy")</f>
        <v>2025</v>
      </c>
      <c r="E693" t="s">
        <v>97</v>
      </c>
      <c r="F693" t="s">
        <v>29</v>
      </c>
      <c r="G693" t="s">
        <v>46</v>
      </c>
      <c r="H693" t="s">
        <v>14</v>
      </c>
      <c r="I693">
        <v>4</v>
      </c>
      <c r="J693" s="2">
        <v>32.99</v>
      </c>
      <c r="K693" s="2">
        <v>131.96</v>
      </c>
      <c r="L693">
        <v>5</v>
      </c>
      <c r="M693" t="str">
        <f>IF(Table1[[#This Row],[Customer Rating]]&gt;=3,"Good","Average")</f>
        <v>Good</v>
      </c>
    </row>
    <row r="694" spans="1:13" x14ac:dyDescent="0.25">
      <c r="A694" t="s">
        <v>744</v>
      </c>
      <c r="B694" s="4">
        <v>45765</v>
      </c>
      <c r="C694" s="4" t="str">
        <f>TEXT(Table1[[#This Row],[Order Date]],"mmm")</f>
        <v>Apr</v>
      </c>
      <c r="D694" s="4" t="str">
        <f>TEXT(Table1[[#This Row],[Order Date]],"yyyy")</f>
        <v>2025</v>
      </c>
      <c r="E694" t="s">
        <v>45</v>
      </c>
      <c r="F694" t="s">
        <v>17</v>
      </c>
      <c r="G694" t="s">
        <v>39</v>
      </c>
      <c r="H694" t="s">
        <v>14</v>
      </c>
      <c r="I694">
        <v>1</v>
      </c>
      <c r="J694" s="2">
        <v>24.99</v>
      </c>
      <c r="K694" s="2">
        <v>24.99</v>
      </c>
      <c r="L694">
        <v>4</v>
      </c>
      <c r="M694" t="str">
        <f>IF(Table1[[#This Row],[Customer Rating]]&gt;=3,"Good","Average")</f>
        <v>Good</v>
      </c>
    </row>
    <row r="695" spans="1:13" x14ac:dyDescent="0.25">
      <c r="A695" t="s">
        <v>745</v>
      </c>
      <c r="B695" s="4">
        <v>45351</v>
      </c>
      <c r="C695" s="4" t="str">
        <f>TEXT(Table1[[#This Row],[Order Date]],"mmm")</f>
        <v>Feb</v>
      </c>
      <c r="D695" s="4" t="str">
        <f>TEXT(Table1[[#This Row],[Order Date]],"yyyy")</f>
        <v>2024</v>
      </c>
      <c r="E695" t="s">
        <v>21</v>
      </c>
      <c r="F695" t="s">
        <v>12</v>
      </c>
      <c r="G695" t="s">
        <v>119</v>
      </c>
      <c r="H695" t="s">
        <v>19</v>
      </c>
      <c r="I695">
        <v>2</v>
      </c>
      <c r="J695" s="2">
        <v>4.99</v>
      </c>
      <c r="K695" s="2">
        <v>9.98</v>
      </c>
      <c r="L695">
        <v>4</v>
      </c>
      <c r="M695" t="str">
        <f>IF(Table1[[#This Row],[Customer Rating]]&gt;=3,"Good","Average")</f>
        <v>Good</v>
      </c>
    </row>
    <row r="696" spans="1:13" x14ac:dyDescent="0.25">
      <c r="A696" t="s">
        <v>746</v>
      </c>
      <c r="B696" s="4">
        <v>45639</v>
      </c>
      <c r="C696" s="4" t="str">
        <f>TEXT(Table1[[#This Row],[Order Date]],"mmm")</f>
        <v>Dec</v>
      </c>
      <c r="D696" s="4" t="str">
        <f>TEXT(Table1[[#This Row],[Order Date]],"yyyy")</f>
        <v>2024</v>
      </c>
      <c r="E696" t="s">
        <v>21</v>
      </c>
      <c r="F696" t="s">
        <v>12</v>
      </c>
      <c r="G696" t="s">
        <v>52</v>
      </c>
      <c r="H696" t="s">
        <v>19</v>
      </c>
      <c r="I696">
        <v>3</v>
      </c>
      <c r="J696" s="2">
        <v>6.99</v>
      </c>
      <c r="K696" s="2">
        <v>20.97</v>
      </c>
      <c r="L696">
        <v>2</v>
      </c>
      <c r="M696" t="str">
        <f>IF(Table1[[#This Row],[Customer Rating]]&gt;=3,"Good","Average")</f>
        <v>Average</v>
      </c>
    </row>
    <row r="697" spans="1:13" x14ac:dyDescent="0.25">
      <c r="A697" t="s">
        <v>747</v>
      </c>
      <c r="B697" s="4">
        <v>45555</v>
      </c>
      <c r="C697" s="4" t="str">
        <f>TEXT(Table1[[#This Row],[Order Date]],"mmm")</f>
        <v>Sep</v>
      </c>
      <c r="D697" s="4" t="str">
        <f>TEXT(Table1[[#This Row],[Order Date]],"yyyy")</f>
        <v>2024</v>
      </c>
      <c r="E697" t="s">
        <v>16</v>
      </c>
      <c r="F697" t="s">
        <v>12</v>
      </c>
      <c r="G697" t="s">
        <v>66</v>
      </c>
      <c r="H697" t="s">
        <v>67</v>
      </c>
      <c r="I697">
        <v>1</v>
      </c>
      <c r="J697" s="2">
        <v>7.99</v>
      </c>
      <c r="K697" s="2">
        <v>7.99</v>
      </c>
      <c r="L697">
        <v>3</v>
      </c>
      <c r="M697" t="str">
        <f>IF(Table1[[#This Row],[Customer Rating]]&gt;=3,"Good","Average")</f>
        <v>Good</v>
      </c>
    </row>
    <row r="698" spans="1:13" x14ac:dyDescent="0.25">
      <c r="A698" t="s">
        <v>748</v>
      </c>
      <c r="B698" s="4">
        <v>45625</v>
      </c>
      <c r="C698" s="4" t="str">
        <f>TEXT(Table1[[#This Row],[Order Date]],"mmm")</f>
        <v>Nov</v>
      </c>
      <c r="D698" s="4" t="str">
        <f>TEXT(Table1[[#This Row],[Order Date]],"yyyy")</f>
        <v>2024</v>
      </c>
      <c r="E698" t="s">
        <v>28</v>
      </c>
      <c r="F698" t="s">
        <v>17</v>
      </c>
      <c r="G698" t="s">
        <v>119</v>
      </c>
      <c r="H698" t="s">
        <v>19</v>
      </c>
      <c r="I698">
        <v>1</v>
      </c>
      <c r="J698" s="2">
        <v>4.99</v>
      </c>
      <c r="K698" s="2">
        <v>4.99</v>
      </c>
      <c r="L698">
        <v>4</v>
      </c>
      <c r="M698" t="str">
        <f>IF(Table1[[#This Row],[Customer Rating]]&gt;=3,"Good","Average")</f>
        <v>Good</v>
      </c>
    </row>
    <row r="699" spans="1:13" x14ac:dyDescent="0.25">
      <c r="A699" t="s">
        <v>749</v>
      </c>
      <c r="B699" s="4">
        <v>45691</v>
      </c>
      <c r="C699" s="4" t="str">
        <f>TEXT(Table1[[#This Row],[Order Date]],"mmm")</f>
        <v>Feb</v>
      </c>
      <c r="D699" s="4" t="str">
        <f>TEXT(Table1[[#This Row],[Order Date]],"yyyy")</f>
        <v>2025</v>
      </c>
      <c r="E699" t="s">
        <v>21</v>
      </c>
      <c r="F699" t="s">
        <v>29</v>
      </c>
      <c r="G699" t="s">
        <v>83</v>
      </c>
      <c r="H699" t="s">
        <v>14</v>
      </c>
      <c r="I699">
        <v>1</v>
      </c>
      <c r="J699" s="2">
        <v>17.989999999999998</v>
      </c>
      <c r="K699" s="2">
        <v>17.989999999999998</v>
      </c>
      <c r="L699">
        <v>4</v>
      </c>
      <c r="M699" t="str">
        <f>IF(Table1[[#This Row],[Customer Rating]]&gt;=3,"Good","Average")</f>
        <v>Good</v>
      </c>
    </row>
    <row r="700" spans="1:13" x14ac:dyDescent="0.25">
      <c r="A700" t="s">
        <v>750</v>
      </c>
      <c r="B700" s="4">
        <v>45349</v>
      </c>
      <c r="C700" s="4" t="str">
        <f>TEXT(Table1[[#This Row],[Order Date]],"mmm")</f>
        <v>Feb</v>
      </c>
      <c r="D700" s="4" t="str">
        <f>TEXT(Table1[[#This Row],[Order Date]],"yyyy")</f>
        <v>2024</v>
      </c>
      <c r="E700" t="s">
        <v>45</v>
      </c>
      <c r="F700" t="s">
        <v>12</v>
      </c>
      <c r="G700" t="s">
        <v>142</v>
      </c>
      <c r="H700" t="s">
        <v>23</v>
      </c>
      <c r="I700">
        <v>1</v>
      </c>
      <c r="J700" s="2">
        <v>14.99</v>
      </c>
      <c r="K700" s="2">
        <v>14.99</v>
      </c>
      <c r="L700">
        <v>5</v>
      </c>
      <c r="M700" t="str">
        <f>IF(Table1[[#This Row],[Customer Rating]]&gt;=3,"Good","Average")</f>
        <v>Good</v>
      </c>
    </row>
    <row r="701" spans="1:13" x14ac:dyDescent="0.25">
      <c r="A701" t="s">
        <v>751</v>
      </c>
      <c r="B701" s="4">
        <v>45292</v>
      </c>
      <c r="C701" s="4" t="str">
        <f>TEXT(Table1[[#This Row],[Order Date]],"mmm")</f>
        <v>Jan</v>
      </c>
      <c r="D701" s="4" t="str">
        <f>TEXT(Table1[[#This Row],[Order Date]],"yyyy")</f>
        <v>2024</v>
      </c>
      <c r="E701" t="s">
        <v>32</v>
      </c>
      <c r="F701" t="s">
        <v>12</v>
      </c>
      <c r="G701" t="s">
        <v>74</v>
      </c>
      <c r="H701" t="s">
        <v>14</v>
      </c>
      <c r="I701">
        <v>2</v>
      </c>
      <c r="J701" s="2">
        <v>14.99</v>
      </c>
      <c r="K701" s="2">
        <v>29.98</v>
      </c>
      <c r="L701">
        <v>5</v>
      </c>
      <c r="M701" t="str">
        <f>IF(Table1[[#This Row],[Customer Rating]]&gt;=3,"Good","Average")</f>
        <v>Good</v>
      </c>
    </row>
    <row r="702" spans="1:13" x14ac:dyDescent="0.25">
      <c r="A702" t="s">
        <v>752</v>
      </c>
      <c r="B702" s="4">
        <v>45956</v>
      </c>
      <c r="C702" s="4" t="str">
        <f>TEXT(Table1[[#This Row],[Order Date]],"mmm")</f>
        <v>Oct</v>
      </c>
      <c r="D702" s="4" t="str">
        <f>TEXT(Table1[[#This Row],[Order Date]],"yyyy")</f>
        <v>2025</v>
      </c>
      <c r="E702" t="s">
        <v>45</v>
      </c>
      <c r="F702" t="s">
        <v>29</v>
      </c>
      <c r="G702" t="s">
        <v>39</v>
      </c>
      <c r="H702" t="s">
        <v>14</v>
      </c>
      <c r="I702">
        <v>2</v>
      </c>
      <c r="J702" s="2">
        <v>24.99</v>
      </c>
      <c r="K702" s="2">
        <v>49.98</v>
      </c>
      <c r="L702">
        <v>5</v>
      </c>
      <c r="M702" t="str">
        <f>IF(Table1[[#This Row],[Customer Rating]]&gt;=3,"Good","Average")</f>
        <v>Good</v>
      </c>
    </row>
    <row r="703" spans="1:13" x14ac:dyDescent="0.25">
      <c r="A703" t="s">
        <v>753</v>
      </c>
      <c r="B703" s="4">
        <v>45457</v>
      </c>
      <c r="C703" s="4" t="str">
        <f>TEXT(Table1[[#This Row],[Order Date]],"mmm")</f>
        <v>Jun</v>
      </c>
      <c r="D703" s="4" t="str">
        <f>TEXT(Table1[[#This Row],[Order Date]],"yyyy")</f>
        <v>2024</v>
      </c>
      <c r="E703" t="s">
        <v>25</v>
      </c>
      <c r="F703" t="s">
        <v>17</v>
      </c>
      <c r="G703" t="s">
        <v>39</v>
      </c>
      <c r="H703" t="s">
        <v>14</v>
      </c>
      <c r="I703">
        <v>1</v>
      </c>
      <c r="J703" s="2">
        <v>24.99</v>
      </c>
      <c r="K703" s="2">
        <v>24.99</v>
      </c>
      <c r="L703">
        <v>4</v>
      </c>
      <c r="M703" t="str">
        <f>IF(Table1[[#This Row],[Customer Rating]]&gt;=3,"Good","Average")</f>
        <v>Good</v>
      </c>
    </row>
    <row r="704" spans="1:13" x14ac:dyDescent="0.25">
      <c r="A704" t="s">
        <v>754</v>
      </c>
      <c r="B704" s="4">
        <v>45710</v>
      </c>
      <c r="C704" s="4" t="str">
        <f>TEXT(Table1[[#This Row],[Order Date]],"mmm")</f>
        <v>Feb</v>
      </c>
      <c r="D704" s="4" t="str">
        <f>TEXT(Table1[[#This Row],[Order Date]],"yyyy")</f>
        <v>2025</v>
      </c>
      <c r="E704" t="s">
        <v>11</v>
      </c>
      <c r="F704" t="s">
        <v>29</v>
      </c>
      <c r="G704" t="s">
        <v>13</v>
      </c>
      <c r="H704" t="s">
        <v>14</v>
      </c>
      <c r="I704">
        <v>2</v>
      </c>
      <c r="J704" s="2">
        <v>18.989999999999998</v>
      </c>
      <c r="K704" s="2">
        <v>37.979999999999997</v>
      </c>
      <c r="L704">
        <v>4</v>
      </c>
      <c r="M704" t="str">
        <f>IF(Table1[[#This Row],[Customer Rating]]&gt;=3,"Good","Average")</f>
        <v>Good</v>
      </c>
    </row>
    <row r="705" spans="1:13" x14ac:dyDescent="0.25">
      <c r="A705" t="s">
        <v>755</v>
      </c>
      <c r="B705" s="4">
        <v>45450</v>
      </c>
      <c r="C705" s="4" t="str">
        <f>TEXT(Table1[[#This Row],[Order Date]],"mmm")</f>
        <v>Jun</v>
      </c>
      <c r="D705" s="4" t="str">
        <f>TEXT(Table1[[#This Row],[Order Date]],"yyyy")</f>
        <v>2024</v>
      </c>
      <c r="E705" t="s">
        <v>21</v>
      </c>
      <c r="F705" t="s">
        <v>29</v>
      </c>
      <c r="G705" t="s">
        <v>74</v>
      </c>
      <c r="H705" t="s">
        <v>14</v>
      </c>
      <c r="I705">
        <v>1</v>
      </c>
      <c r="J705" s="2">
        <v>14.99</v>
      </c>
      <c r="K705" s="2">
        <v>14.99</v>
      </c>
      <c r="L705">
        <v>4</v>
      </c>
      <c r="M705" t="str">
        <f>IF(Table1[[#This Row],[Customer Rating]]&gt;=3,"Good","Average")</f>
        <v>Good</v>
      </c>
    </row>
    <row r="706" spans="1:13" x14ac:dyDescent="0.25">
      <c r="A706" t="s">
        <v>756</v>
      </c>
      <c r="B706" s="4">
        <v>45489</v>
      </c>
      <c r="C706" s="4" t="str">
        <f>TEXT(Table1[[#This Row],[Order Date]],"mmm")</f>
        <v>Jul</v>
      </c>
      <c r="D706" s="4" t="str">
        <f>TEXT(Table1[[#This Row],[Order Date]],"yyyy")</f>
        <v>2024</v>
      </c>
      <c r="E706" t="s">
        <v>32</v>
      </c>
      <c r="F706" t="s">
        <v>29</v>
      </c>
      <c r="G706" t="s">
        <v>176</v>
      </c>
      <c r="H706" t="s">
        <v>67</v>
      </c>
      <c r="I706">
        <v>2</v>
      </c>
      <c r="J706" s="2">
        <v>11.99</v>
      </c>
      <c r="K706" s="2">
        <v>23.98</v>
      </c>
      <c r="L706">
        <v>5</v>
      </c>
      <c r="M706" t="str">
        <f>IF(Table1[[#This Row],[Customer Rating]]&gt;=3,"Good","Average")</f>
        <v>Good</v>
      </c>
    </row>
    <row r="707" spans="1:13" x14ac:dyDescent="0.25">
      <c r="A707" t="s">
        <v>757</v>
      </c>
      <c r="B707" s="4">
        <v>45490</v>
      </c>
      <c r="C707" s="4" t="str">
        <f>TEXT(Table1[[#This Row],[Order Date]],"mmm")</f>
        <v>Jul</v>
      </c>
      <c r="D707" s="4" t="str">
        <f>TEXT(Table1[[#This Row],[Order Date]],"yyyy")</f>
        <v>2024</v>
      </c>
      <c r="E707" t="s">
        <v>25</v>
      </c>
      <c r="F707" t="s">
        <v>12</v>
      </c>
      <c r="G707" t="s">
        <v>142</v>
      </c>
      <c r="H707" t="s">
        <v>23</v>
      </c>
      <c r="I707">
        <v>1</v>
      </c>
      <c r="J707" s="2">
        <v>14.99</v>
      </c>
      <c r="K707" s="2">
        <v>14.99</v>
      </c>
      <c r="L707">
        <v>4</v>
      </c>
      <c r="M707" t="str">
        <f>IF(Table1[[#This Row],[Customer Rating]]&gt;=3,"Good","Average")</f>
        <v>Good</v>
      </c>
    </row>
    <row r="708" spans="1:13" x14ac:dyDescent="0.25">
      <c r="A708" t="s">
        <v>758</v>
      </c>
      <c r="B708" s="4">
        <v>45565</v>
      </c>
      <c r="C708" s="4" t="str">
        <f>TEXT(Table1[[#This Row],[Order Date]],"mmm")</f>
        <v>Sep</v>
      </c>
      <c r="D708" s="4" t="str">
        <f>TEXT(Table1[[#This Row],[Order Date]],"yyyy")</f>
        <v>2024</v>
      </c>
      <c r="E708" t="s">
        <v>32</v>
      </c>
      <c r="F708" t="s">
        <v>17</v>
      </c>
      <c r="G708" t="s">
        <v>30</v>
      </c>
      <c r="H708" t="s">
        <v>19</v>
      </c>
      <c r="I708">
        <v>1</v>
      </c>
      <c r="J708" s="2">
        <v>7.99</v>
      </c>
      <c r="K708" s="2">
        <v>7.99</v>
      </c>
      <c r="L708">
        <v>5</v>
      </c>
      <c r="M708" t="str">
        <f>IF(Table1[[#This Row],[Customer Rating]]&gt;=3,"Good","Average")</f>
        <v>Good</v>
      </c>
    </row>
    <row r="709" spans="1:13" x14ac:dyDescent="0.25">
      <c r="A709" t="s">
        <v>759</v>
      </c>
      <c r="B709" s="4">
        <v>45509</v>
      </c>
      <c r="C709" s="4" t="str">
        <f>TEXT(Table1[[#This Row],[Order Date]],"mmm")</f>
        <v>Aug</v>
      </c>
      <c r="D709" s="4" t="str">
        <f>TEXT(Table1[[#This Row],[Order Date]],"yyyy")</f>
        <v>2024</v>
      </c>
      <c r="E709" t="s">
        <v>28</v>
      </c>
      <c r="F709" t="s">
        <v>29</v>
      </c>
      <c r="G709" t="s">
        <v>142</v>
      </c>
      <c r="H709" t="s">
        <v>23</v>
      </c>
      <c r="I709">
        <v>3</v>
      </c>
      <c r="J709" s="2">
        <v>14.99</v>
      </c>
      <c r="K709" s="2">
        <v>44.97</v>
      </c>
      <c r="L709">
        <v>5</v>
      </c>
      <c r="M709" t="str">
        <f>IF(Table1[[#This Row],[Customer Rating]]&gt;=3,"Good","Average")</f>
        <v>Good</v>
      </c>
    </row>
    <row r="710" spans="1:13" x14ac:dyDescent="0.25">
      <c r="A710" t="s">
        <v>760</v>
      </c>
      <c r="B710" s="4">
        <v>45358</v>
      </c>
      <c r="C710" s="4" t="str">
        <f>TEXT(Table1[[#This Row],[Order Date]],"mmm")</f>
        <v>Mar</v>
      </c>
      <c r="D710" s="4" t="str">
        <f>TEXT(Table1[[#This Row],[Order Date]],"yyyy")</f>
        <v>2024</v>
      </c>
      <c r="E710" t="s">
        <v>11</v>
      </c>
      <c r="F710" t="s">
        <v>12</v>
      </c>
      <c r="G710" t="s">
        <v>66</v>
      </c>
      <c r="H710" t="s">
        <v>67</v>
      </c>
      <c r="I710">
        <v>1</v>
      </c>
      <c r="J710" s="2">
        <v>7.99</v>
      </c>
      <c r="K710" s="2">
        <v>7.99</v>
      </c>
      <c r="L710">
        <v>5</v>
      </c>
      <c r="M710" t="str">
        <f>IF(Table1[[#This Row],[Customer Rating]]&gt;=3,"Good","Average")</f>
        <v>Good</v>
      </c>
    </row>
    <row r="711" spans="1:13" x14ac:dyDescent="0.25">
      <c r="A711" t="s">
        <v>761</v>
      </c>
      <c r="B711" s="4">
        <v>45700</v>
      </c>
      <c r="C711" s="4" t="str">
        <f>TEXT(Table1[[#This Row],[Order Date]],"mmm")</f>
        <v>Feb</v>
      </c>
      <c r="D711" s="4" t="str">
        <f>TEXT(Table1[[#This Row],[Order Date]],"yyyy")</f>
        <v>2025</v>
      </c>
      <c r="E711" t="s">
        <v>32</v>
      </c>
      <c r="F711" t="s">
        <v>29</v>
      </c>
      <c r="G711" t="s">
        <v>41</v>
      </c>
      <c r="H711" t="s">
        <v>23</v>
      </c>
      <c r="I711">
        <v>2</v>
      </c>
      <c r="J711" s="2">
        <v>12.99</v>
      </c>
      <c r="K711" s="2">
        <v>25.98</v>
      </c>
      <c r="L711">
        <v>3</v>
      </c>
      <c r="M711" t="str">
        <f>IF(Table1[[#This Row],[Customer Rating]]&gt;=3,"Good","Average")</f>
        <v>Good</v>
      </c>
    </row>
    <row r="712" spans="1:13" x14ac:dyDescent="0.25">
      <c r="A712" t="s">
        <v>762</v>
      </c>
      <c r="B712" s="4">
        <v>45498</v>
      </c>
      <c r="C712" s="4" t="str">
        <f>TEXT(Table1[[#This Row],[Order Date]],"mmm")</f>
        <v>Jul</v>
      </c>
      <c r="D712" s="4" t="str">
        <f>TEXT(Table1[[#This Row],[Order Date]],"yyyy")</f>
        <v>2024</v>
      </c>
      <c r="E712" t="s">
        <v>28</v>
      </c>
      <c r="F712" t="s">
        <v>29</v>
      </c>
      <c r="G712" t="s">
        <v>74</v>
      </c>
      <c r="H712" t="s">
        <v>14</v>
      </c>
      <c r="I712">
        <v>2</v>
      </c>
      <c r="J712" s="2">
        <v>14.99</v>
      </c>
      <c r="K712" s="2">
        <v>29.98</v>
      </c>
      <c r="L712">
        <v>4</v>
      </c>
      <c r="M712" t="str">
        <f>IF(Table1[[#This Row],[Customer Rating]]&gt;=3,"Good","Average")</f>
        <v>Good</v>
      </c>
    </row>
    <row r="713" spans="1:13" x14ac:dyDescent="0.25">
      <c r="A713" t="s">
        <v>763</v>
      </c>
      <c r="B713" s="4">
        <v>45589</v>
      </c>
      <c r="C713" s="4" t="str">
        <f>TEXT(Table1[[#This Row],[Order Date]],"mmm")</f>
        <v>Oct</v>
      </c>
      <c r="D713" s="4" t="str">
        <f>TEXT(Table1[[#This Row],[Order Date]],"yyyy")</f>
        <v>2024</v>
      </c>
      <c r="E713" t="s">
        <v>45</v>
      </c>
      <c r="F713" t="s">
        <v>17</v>
      </c>
      <c r="G713" t="s">
        <v>79</v>
      </c>
      <c r="H713" t="s">
        <v>67</v>
      </c>
      <c r="I713">
        <v>1</v>
      </c>
      <c r="J713" s="2">
        <v>10.99</v>
      </c>
      <c r="K713" s="2">
        <v>10.99</v>
      </c>
      <c r="L713">
        <v>4</v>
      </c>
      <c r="M713" t="str">
        <f>IF(Table1[[#This Row],[Customer Rating]]&gt;=3,"Good","Average")</f>
        <v>Good</v>
      </c>
    </row>
    <row r="714" spans="1:13" x14ac:dyDescent="0.25">
      <c r="A714" t="s">
        <v>764</v>
      </c>
      <c r="B714" s="4">
        <v>45578</v>
      </c>
      <c r="C714" s="4" t="str">
        <f>TEXT(Table1[[#This Row],[Order Date]],"mmm")</f>
        <v>Oct</v>
      </c>
      <c r="D714" s="4" t="str">
        <f>TEXT(Table1[[#This Row],[Order Date]],"yyyy")</f>
        <v>2024</v>
      </c>
      <c r="E714" t="s">
        <v>11</v>
      </c>
      <c r="F714" t="s">
        <v>29</v>
      </c>
      <c r="G714" t="s">
        <v>36</v>
      </c>
      <c r="H714" t="s">
        <v>14</v>
      </c>
      <c r="I714">
        <v>2</v>
      </c>
      <c r="J714" s="2">
        <v>16.989999999999998</v>
      </c>
      <c r="K714" s="2">
        <v>33.979999999999997</v>
      </c>
      <c r="L714">
        <v>5</v>
      </c>
      <c r="M714" t="str">
        <f>IF(Table1[[#This Row],[Customer Rating]]&gt;=3,"Good","Average")</f>
        <v>Good</v>
      </c>
    </row>
    <row r="715" spans="1:13" x14ac:dyDescent="0.25">
      <c r="A715" t="s">
        <v>765</v>
      </c>
      <c r="B715" s="4">
        <v>45394</v>
      </c>
      <c r="C715" s="4" t="str">
        <f>TEXT(Table1[[#This Row],[Order Date]],"mmm")</f>
        <v>Apr</v>
      </c>
      <c r="D715" s="4" t="str">
        <f>TEXT(Table1[[#This Row],[Order Date]],"yyyy")</f>
        <v>2024</v>
      </c>
      <c r="E715" t="s">
        <v>25</v>
      </c>
      <c r="F715" t="s">
        <v>17</v>
      </c>
      <c r="G715" t="s">
        <v>74</v>
      </c>
      <c r="H715" t="s">
        <v>14</v>
      </c>
      <c r="I715">
        <v>3</v>
      </c>
      <c r="J715" s="2">
        <v>14.99</v>
      </c>
      <c r="K715" s="2">
        <v>44.97</v>
      </c>
      <c r="L715">
        <v>4</v>
      </c>
      <c r="M715" t="str">
        <f>IF(Table1[[#This Row],[Customer Rating]]&gt;=3,"Good","Average")</f>
        <v>Good</v>
      </c>
    </row>
    <row r="716" spans="1:13" x14ac:dyDescent="0.25">
      <c r="A716" t="s">
        <v>766</v>
      </c>
      <c r="B716" s="4">
        <v>45919</v>
      </c>
      <c r="C716" s="4" t="str">
        <f>TEXT(Table1[[#This Row],[Order Date]],"mmm")</f>
        <v>Sep</v>
      </c>
      <c r="D716" s="4" t="str">
        <f>TEXT(Table1[[#This Row],[Order Date]],"yyyy")</f>
        <v>2025</v>
      </c>
      <c r="E716" t="s">
        <v>21</v>
      </c>
      <c r="F716" t="s">
        <v>29</v>
      </c>
      <c r="G716" t="s">
        <v>30</v>
      </c>
      <c r="H716" t="s">
        <v>19</v>
      </c>
      <c r="I716">
        <v>1</v>
      </c>
      <c r="J716" s="2">
        <v>7.99</v>
      </c>
      <c r="K716" s="2">
        <v>7.99</v>
      </c>
      <c r="L716">
        <v>5</v>
      </c>
      <c r="M716" t="str">
        <f>IF(Table1[[#This Row],[Customer Rating]]&gt;=3,"Good","Average")</f>
        <v>Good</v>
      </c>
    </row>
    <row r="717" spans="1:13" x14ac:dyDescent="0.25">
      <c r="A717" t="s">
        <v>767</v>
      </c>
      <c r="B717" s="4">
        <v>45748</v>
      </c>
      <c r="C717" s="4" t="str">
        <f>TEXT(Table1[[#This Row],[Order Date]],"mmm")</f>
        <v>Apr</v>
      </c>
      <c r="D717" s="4" t="str">
        <f>TEXT(Table1[[#This Row],[Order Date]],"yyyy")</f>
        <v>2025</v>
      </c>
      <c r="E717" t="s">
        <v>45</v>
      </c>
      <c r="F717" t="s">
        <v>12</v>
      </c>
      <c r="G717" t="s">
        <v>13</v>
      </c>
      <c r="H717" t="s">
        <v>14</v>
      </c>
      <c r="I717">
        <v>1</v>
      </c>
      <c r="J717" s="2">
        <v>18.989999999999998</v>
      </c>
      <c r="K717" s="2">
        <v>18.989999999999998</v>
      </c>
      <c r="L717">
        <v>1</v>
      </c>
      <c r="M717" t="str">
        <f>IF(Table1[[#This Row],[Customer Rating]]&gt;=3,"Good","Average")</f>
        <v>Average</v>
      </c>
    </row>
    <row r="718" spans="1:13" x14ac:dyDescent="0.25">
      <c r="A718" t="s">
        <v>768</v>
      </c>
      <c r="B718" s="4">
        <v>45539</v>
      </c>
      <c r="C718" s="4" t="str">
        <f>TEXT(Table1[[#This Row],[Order Date]],"mmm")</f>
        <v>Sep</v>
      </c>
      <c r="D718" s="4" t="str">
        <f>TEXT(Table1[[#This Row],[Order Date]],"yyyy")</f>
        <v>2024</v>
      </c>
      <c r="E718" t="s">
        <v>45</v>
      </c>
      <c r="F718" t="s">
        <v>17</v>
      </c>
      <c r="G718" t="s">
        <v>39</v>
      </c>
      <c r="H718" t="s">
        <v>14</v>
      </c>
      <c r="I718">
        <v>1</v>
      </c>
      <c r="J718" s="2">
        <v>24.99</v>
      </c>
      <c r="K718" s="2">
        <v>24.99</v>
      </c>
      <c r="L718">
        <v>5</v>
      </c>
      <c r="M718" t="str">
        <f>IF(Table1[[#This Row],[Customer Rating]]&gt;=3,"Good","Average")</f>
        <v>Good</v>
      </c>
    </row>
    <row r="719" spans="1:13" x14ac:dyDescent="0.25">
      <c r="A719" t="s">
        <v>769</v>
      </c>
      <c r="B719" s="4">
        <v>45794</v>
      </c>
      <c r="C719" s="4" t="str">
        <f>TEXT(Table1[[#This Row],[Order Date]],"mmm")</f>
        <v>May</v>
      </c>
      <c r="D719" s="4" t="str">
        <f>TEXT(Table1[[#This Row],[Order Date]],"yyyy")</f>
        <v>2025</v>
      </c>
      <c r="E719" t="s">
        <v>16</v>
      </c>
      <c r="F719" t="s">
        <v>12</v>
      </c>
      <c r="G719" t="s">
        <v>36</v>
      </c>
      <c r="H719" t="s">
        <v>14</v>
      </c>
      <c r="I719">
        <v>2</v>
      </c>
      <c r="J719" s="2">
        <v>16.989999999999998</v>
      </c>
      <c r="K719" s="2">
        <v>33.979999999999997</v>
      </c>
      <c r="L719">
        <v>3</v>
      </c>
      <c r="M719" t="str">
        <f>IF(Table1[[#This Row],[Customer Rating]]&gt;=3,"Good","Average")</f>
        <v>Good</v>
      </c>
    </row>
    <row r="720" spans="1:13" x14ac:dyDescent="0.25">
      <c r="A720" t="s">
        <v>770</v>
      </c>
      <c r="B720" s="4">
        <v>45806</v>
      </c>
      <c r="C720" s="4" t="str">
        <f>TEXT(Table1[[#This Row],[Order Date]],"mmm")</f>
        <v>May</v>
      </c>
      <c r="D720" s="4" t="str">
        <f>TEXT(Table1[[#This Row],[Order Date]],"yyyy")</f>
        <v>2025</v>
      </c>
      <c r="E720" t="s">
        <v>32</v>
      </c>
      <c r="F720" t="s">
        <v>29</v>
      </c>
      <c r="G720" t="s">
        <v>112</v>
      </c>
      <c r="H720" t="s">
        <v>19</v>
      </c>
      <c r="I720">
        <v>3</v>
      </c>
      <c r="J720" s="2">
        <v>5.99</v>
      </c>
      <c r="K720" s="2">
        <v>17.97</v>
      </c>
      <c r="L720">
        <v>5</v>
      </c>
      <c r="M720" t="str">
        <f>IF(Table1[[#This Row],[Customer Rating]]&gt;=3,"Good","Average")</f>
        <v>Good</v>
      </c>
    </row>
    <row r="721" spans="1:13" x14ac:dyDescent="0.25">
      <c r="A721" t="s">
        <v>771</v>
      </c>
      <c r="B721" s="4">
        <v>45348</v>
      </c>
      <c r="C721" s="4" t="str">
        <f>TEXT(Table1[[#This Row],[Order Date]],"mmm")</f>
        <v>Feb</v>
      </c>
      <c r="D721" s="4" t="str">
        <f>TEXT(Table1[[#This Row],[Order Date]],"yyyy")</f>
        <v>2024</v>
      </c>
      <c r="E721" t="s">
        <v>45</v>
      </c>
      <c r="F721" t="s">
        <v>29</v>
      </c>
      <c r="G721" t="s">
        <v>39</v>
      </c>
      <c r="H721" t="s">
        <v>14</v>
      </c>
      <c r="I721">
        <v>1</v>
      </c>
      <c r="J721" s="2">
        <v>24.99</v>
      </c>
      <c r="K721" s="2">
        <v>24.99</v>
      </c>
      <c r="L721">
        <v>3</v>
      </c>
      <c r="M721" t="str">
        <f>IF(Table1[[#This Row],[Customer Rating]]&gt;=3,"Good","Average")</f>
        <v>Good</v>
      </c>
    </row>
    <row r="722" spans="1:13" x14ac:dyDescent="0.25">
      <c r="A722" t="s">
        <v>772</v>
      </c>
      <c r="B722" s="4">
        <v>45729</v>
      </c>
      <c r="C722" s="4" t="str">
        <f>TEXT(Table1[[#This Row],[Order Date]],"mmm")</f>
        <v>Mar</v>
      </c>
      <c r="D722" s="4" t="str">
        <f>TEXT(Table1[[#This Row],[Order Date]],"yyyy")</f>
        <v>2025</v>
      </c>
      <c r="E722" t="s">
        <v>32</v>
      </c>
      <c r="F722" t="s">
        <v>29</v>
      </c>
      <c r="G722" t="s">
        <v>18</v>
      </c>
      <c r="H722" t="s">
        <v>19</v>
      </c>
      <c r="I722">
        <v>2</v>
      </c>
      <c r="J722" s="2">
        <v>9.99</v>
      </c>
      <c r="K722" s="2">
        <v>19.98</v>
      </c>
      <c r="L722">
        <v>4</v>
      </c>
      <c r="M722" t="str">
        <f>IF(Table1[[#This Row],[Customer Rating]]&gt;=3,"Good","Average")</f>
        <v>Good</v>
      </c>
    </row>
    <row r="723" spans="1:13" x14ac:dyDescent="0.25">
      <c r="A723" t="s">
        <v>773</v>
      </c>
      <c r="B723" s="4">
        <v>45585</v>
      </c>
      <c r="C723" s="4" t="str">
        <f>TEXT(Table1[[#This Row],[Order Date]],"mmm")</f>
        <v>Oct</v>
      </c>
      <c r="D723" s="4" t="str">
        <f>TEXT(Table1[[#This Row],[Order Date]],"yyyy")</f>
        <v>2024</v>
      </c>
      <c r="E723" t="s">
        <v>16</v>
      </c>
      <c r="F723" t="s">
        <v>12</v>
      </c>
      <c r="G723" t="s">
        <v>39</v>
      </c>
      <c r="H723" t="s">
        <v>14</v>
      </c>
      <c r="I723">
        <v>1</v>
      </c>
      <c r="J723" s="2">
        <v>24.99</v>
      </c>
      <c r="K723" s="2">
        <v>24.99</v>
      </c>
      <c r="L723">
        <v>4</v>
      </c>
      <c r="M723" t="str">
        <f>IF(Table1[[#This Row],[Customer Rating]]&gt;=3,"Good","Average")</f>
        <v>Good</v>
      </c>
    </row>
    <row r="724" spans="1:13" x14ac:dyDescent="0.25">
      <c r="A724" t="s">
        <v>774</v>
      </c>
      <c r="B724" s="4">
        <v>45513</v>
      </c>
      <c r="C724" s="4" t="str">
        <f>TEXT(Table1[[#This Row],[Order Date]],"mmm")</f>
        <v>Aug</v>
      </c>
      <c r="D724" s="4" t="str">
        <f>TEXT(Table1[[#This Row],[Order Date]],"yyyy")</f>
        <v>2024</v>
      </c>
      <c r="E724" t="s">
        <v>11</v>
      </c>
      <c r="F724" t="s">
        <v>12</v>
      </c>
      <c r="G724" t="s">
        <v>13</v>
      </c>
      <c r="H724" t="s">
        <v>14</v>
      </c>
      <c r="I724">
        <v>2</v>
      </c>
      <c r="J724" s="2">
        <v>18.989999999999998</v>
      </c>
      <c r="K724" s="2">
        <v>37.979999999999997</v>
      </c>
      <c r="L724">
        <v>4</v>
      </c>
      <c r="M724" t="str">
        <f>IF(Table1[[#This Row],[Customer Rating]]&gt;=3,"Good","Average")</f>
        <v>Good</v>
      </c>
    </row>
    <row r="725" spans="1:13" x14ac:dyDescent="0.25">
      <c r="A725" t="s">
        <v>775</v>
      </c>
      <c r="B725" s="4">
        <v>45557</v>
      </c>
      <c r="C725" s="4" t="str">
        <f>TEXT(Table1[[#This Row],[Order Date]],"mmm")</f>
        <v>Sep</v>
      </c>
      <c r="D725" s="4" t="str">
        <f>TEXT(Table1[[#This Row],[Order Date]],"yyyy")</f>
        <v>2024</v>
      </c>
      <c r="E725" t="s">
        <v>28</v>
      </c>
      <c r="F725" t="s">
        <v>12</v>
      </c>
      <c r="G725" t="s">
        <v>41</v>
      </c>
      <c r="H725" t="s">
        <v>23</v>
      </c>
      <c r="I725">
        <v>2</v>
      </c>
      <c r="J725" s="2">
        <v>12.99</v>
      </c>
      <c r="K725" s="2">
        <v>25.98</v>
      </c>
      <c r="L725">
        <v>5</v>
      </c>
      <c r="M725" t="str">
        <f>IF(Table1[[#This Row],[Customer Rating]]&gt;=3,"Good","Average")</f>
        <v>Good</v>
      </c>
    </row>
    <row r="726" spans="1:13" x14ac:dyDescent="0.25">
      <c r="A726" t="s">
        <v>776</v>
      </c>
      <c r="B726" s="4">
        <v>45780</v>
      </c>
      <c r="C726" s="4" t="str">
        <f>TEXT(Table1[[#This Row],[Order Date]],"mmm")</f>
        <v>May</v>
      </c>
      <c r="D726" s="4" t="str">
        <f>TEXT(Table1[[#This Row],[Order Date]],"yyyy")</f>
        <v>2025</v>
      </c>
      <c r="E726" t="s">
        <v>34</v>
      </c>
      <c r="F726" t="s">
        <v>17</v>
      </c>
      <c r="G726" t="s">
        <v>50</v>
      </c>
      <c r="H726" t="s">
        <v>14</v>
      </c>
      <c r="I726">
        <v>2</v>
      </c>
      <c r="J726" s="2">
        <v>22.99</v>
      </c>
      <c r="K726" s="2">
        <v>45.98</v>
      </c>
      <c r="L726">
        <v>4</v>
      </c>
      <c r="M726" t="str">
        <f>IF(Table1[[#This Row],[Customer Rating]]&gt;=3,"Good","Average")</f>
        <v>Good</v>
      </c>
    </row>
    <row r="727" spans="1:13" x14ac:dyDescent="0.25">
      <c r="A727" t="s">
        <v>777</v>
      </c>
      <c r="B727" s="4">
        <v>45592</v>
      </c>
      <c r="C727" s="4" t="str">
        <f>TEXT(Table1[[#This Row],[Order Date]],"mmm")</f>
        <v>Oct</v>
      </c>
      <c r="D727" s="4" t="str">
        <f>TEXT(Table1[[#This Row],[Order Date]],"yyyy")</f>
        <v>2024</v>
      </c>
      <c r="E727" t="s">
        <v>32</v>
      </c>
      <c r="F727" t="s">
        <v>17</v>
      </c>
      <c r="G727" t="s">
        <v>39</v>
      </c>
      <c r="H727" t="s">
        <v>14</v>
      </c>
      <c r="I727">
        <v>1</v>
      </c>
      <c r="J727" s="2">
        <v>24.99</v>
      </c>
      <c r="K727" s="2">
        <v>24.99</v>
      </c>
      <c r="L727">
        <v>3</v>
      </c>
      <c r="M727" t="str">
        <f>IF(Table1[[#This Row],[Customer Rating]]&gt;=3,"Good","Average")</f>
        <v>Good</v>
      </c>
    </row>
    <row r="728" spans="1:13" x14ac:dyDescent="0.25">
      <c r="A728" t="s">
        <v>778</v>
      </c>
      <c r="B728" s="4">
        <v>45847</v>
      </c>
      <c r="C728" s="4" t="str">
        <f>TEXT(Table1[[#This Row],[Order Date]],"mmm")</f>
        <v>Jul</v>
      </c>
      <c r="D728" s="4" t="str">
        <f>TEXT(Table1[[#This Row],[Order Date]],"yyyy")</f>
        <v>2025</v>
      </c>
      <c r="E728" t="s">
        <v>21</v>
      </c>
      <c r="F728" t="s">
        <v>12</v>
      </c>
      <c r="G728" t="s">
        <v>142</v>
      </c>
      <c r="H728" t="s">
        <v>23</v>
      </c>
      <c r="I728">
        <v>1</v>
      </c>
      <c r="J728" s="2">
        <v>14.99</v>
      </c>
      <c r="K728" s="2">
        <v>14.99</v>
      </c>
      <c r="L728">
        <v>5</v>
      </c>
      <c r="M728" t="str">
        <f>IF(Table1[[#This Row],[Customer Rating]]&gt;=3,"Good","Average")</f>
        <v>Good</v>
      </c>
    </row>
    <row r="729" spans="1:13" x14ac:dyDescent="0.25">
      <c r="A729" t="s">
        <v>779</v>
      </c>
      <c r="B729" s="4">
        <v>45678</v>
      </c>
      <c r="C729" s="4" t="str">
        <f>TEXT(Table1[[#This Row],[Order Date]],"mmm")</f>
        <v>Jan</v>
      </c>
      <c r="D729" s="4" t="str">
        <f>TEXT(Table1[[#This Row],[Order Date]],"yyyy")</f>
        <v>2025</v>
      </c>
      <c r="E729" t="s">
        <v>38</v>
      </c>
      <c r="F729" t="s">
        <v>17</v>
      </c>
      <c r="G729" t="s">
        <v>83</v>
      </c>
      <c r="H729" t="s">
        <v>14</v>
      </c>
      <c r="I729">
        <v>2</v>
      </c>
      <c r="J729" s="2">
        <v>17.989999999999998</v>
      </c>
      <c r="K729" s="2">
        <v>35.979999999999997</v>
      </c>
      <c r="L729">
        <v>5</v>
      </c>
      <c r="M729" t="str">
        <f>IF(Table1[[#This Row],[Customer Rating]]&gt;=3,"Good","Average")</f>
        <v>Good</v>
      </c>
    </row>
    <row r="730" spans="1:13" x14ac:dyDescent="0.25">
      <c r="A730" t="s">
        <v>780</v>
      </c>
      <c r="B730" s="4">
        <v>45422</v>
      </c>
      <c r="C730" s="4" t="str">
        <f>TEXT(Table1[[#This Row],[Order Date]],"mmm")</f>
        <v>May</v>
      </c>
      <c r="D730" s="4" t="str">
        <f>TEXT(Table1[[#This Row],[Order Date]],"yyyy")</f>
        <v>2024</v>
      </c>
      <c r="E730" t="s">
        <v>34</v>
      </c>
      <c r="F730" t="s">
        <v>29</v>
      </c>
      <c r="G730" t="s">
        <v>13</v>
      </c>
      <c r="H730" t="s">
        <v>14</v>
      </c>
      <c r="I730">
        <v>1</v>
      </c>
      <c r="J730" s="2">
        <v>18.989999999999998</v>
      </c>
      <c r="K730" s="2">
        <v>18.989999999999998</v>
      </c>
      <c r="L730">
        <v>4</v>
      </c>
      <c r="M730" t="str">
        <f>IF(Table1[[#This Row],[Customer Rating]]&gt;=3,"Good","Average")</f>
        <v>Good</v>
      </c>
    </row>
    <row r="731" spans="1:13" x14ac:dyDescent="0.25">
      <c r="A731" t="s">
        <v>781</v>
      </c>
      <c r="B731" s="4">
        <v>45938</v>
      </c>
      <c r="C731" s="4" t="str">
        <f>TEXT(Table1[[#This Row],[Order Date]],"mmm")</f>
        <v>Oct</v>
      </c>
      <c r="D731" s="4" t="str">
        <f>TEXT(Table1[[#This Row],[Order Date]],"yyyy")</f>
        <v>2025</v>
      </c>
      <c r="E731" t="s">
        <v>97</v>
      </c>
      <c r="F731" t="s">
        <v>12</v>
      </c>
      <c r="G731" t="s">
        <v>119</v>
      </c>
      <c r="H731" t="s">
        <v>19</v>
      </c>
      <c r="I731">
        <v>2</v>
      </c>
      <c r="J731" s="2">
        <v>4.99</v>
      </c>
      <c r="K731" s="2">
        <v>9.98</v>
      </c>
      <c r="L731">
        <v>2</v>
      </c>
      <c r="M731" t="str">
        <f>IF(Table1[[#This Row],[Customer Rating]]&gt;=3,"Good","Average")</f>
        <v>Average</v>
      </c>
    </row>
    <row r="732" spans="1:13" x14ac:dyDescent="0.25">
      <c r="A732" t="s">
        <v>782</v>
      </c>
      <c r="B732" s="4">
        <v>45658</v>
      </c>
      <c r="C732" s="4" t="str">
        <f>TEXT(Table1[[#This Row],[Order Date]],"mmm")</f>
        <v>Jan</v>
      </c>
      <c r="D732" s="4" t="str">
        <f>TEXT(Table1[[#This Row],[Order Date]],"yyyy")</f>
        <v>2025</v>
      </c>
      <c r="E732" t="s">
        <v>97</v>
      </c>
      <c r="F732" t="s">
        <v>12</v>
      </c>
      <c r="G732" t="s">
        <v>83</v>
      </c>
      <c r="H732" t="s">
        <v>14</v>
      </c>
      <c r="I732">
        <v>1</v>
      </c>
      <c r="J732" s="2">
        <v>17.989999999999998</v>
      </c>
      <c r="K732" s="2">
        <v>17.989999999999998</v>
      </c>
      <c r="L732">
        <v>5</v>
      </c>
      <c r="M732" t="str">
        <f>IF(Table1[[#This Row],[Customer Rating]]&gt;=3,"Good","Average")</f>
        <v>Good</v>
      </c>
    </row>
    <row r="733" spans="1:13" x14ac:dyDescent="0.25">
      <c r="A733" t="s">
        <v>783</v>
      </c>
      <c r="B733" s="4">
        <v>45648</v>
      </c>
      <c r="C733" s="4" t="str">
        <f>TEXT(Table1[[#This Row],[Order Date]],"mmm")</f>
        <v>Dec</v>
      </c>
      <c r="D733" s="4" t="str">
        <f>TEXT(Table1[[#This Row],[Order Date]],"yyyy")</f>
        <v>2024</v>
      </c>
      <c r="E733" t="s">
        <v>34</v>
      </c>
      <c r="F733" t="s">
        <v>17</v>
      </c>
      <c r="G733" t="s">
        <v>13</v>
      </c>
      <c r="H733" t="s">
        <v>14</v>
      </c>
      <c r="I733">
        <v>1</v>
      </c>
      <c r="J733" s="2">
        <v>18.989999999999998</v>
      </c>
      <c r="K733" s="2">
        <v>18.989999999999998</v>
      </c>
      <c r="L733">
        <v>3</v>
      </c>
      <c r="M733" t="str">
        <f>IF(Table1[[#This Row],[Customer Rating]]&gt;=3,"Good","Average")</f>
        <v>Good</v>
      </c>
    </row>
    <row r="734" spans="1:13" x14ac:dyDescent="0.25">
      <c r="A734" t="s">
        <v>784</v>
      </c>
      <c r="B734" s="4">
        <v>45976</v>
      </c>
      <c r="C734" s="4" t="str">
        <f>TEXT(Table1[[#This Row],[Order Date]],"mmm")</f>
        <v>Nov</v>
      </c>
      <c r="D734" s="4" t="str">
        <f>TEXT(Table1[[#This Row],[Order Date]],"yyyy")</f>
        <v>2025</v>
      </c>
      <c r="E734" t="s">
        <v>97</v>
      </c>
      <c r="F734" t="s">
        <v>29</v>
      </c>
      <c r="G734" t="s">
        <v>69</v>
      </c>
      <c r="H734" t="s">
        <v>67</v>
      </c>
      <c r="I734">
        <v>1</v>
      </c>
      <c r="J734" s="2">
        <v>8.99</v>
      </c>
      <c r="K734" s="2">
        <v>8.99</v>
      </c>
      <c r="L734">
        <v>5</v>
      </c>
      <c r="M734" t="str">
        <f>IF(Table1[[#This Row],[Customer Rating]]&gt;=3,"Good","Average")</f>
        <v>Good</v>
      </c>
    </row>
    <row r="735" spans="1:13" x14ac:dyDescent="0.25">
      <c r="A735" t="s">
        <v>785</v>
      </c>
      <c r="B735" s="4">
        <v>45868</v>
      </c>
      <c r="C735" s="4" t="str">
        <f>TEXT(Table1[[#This Row],[Order Date]],"mmm")</f>
        <v>Jul</v>
      </c>
      <c r="D735" s="4" t="str">
        <f>TEXT(Table1[[#This Row],[Order Date]],"yyyy")</f>
        <v>2025</v>
      </c>
      <c r="E735" t="s">
        <v>28</v>
      </c>
      <c r="F735" t="s">
        <v>17</v>
      </c>
      <c r="G735" t="s">
        <v>57</v>
      </c>
      <c r="H735" t="s">
        <v>14</v>
      </c>
      <c r="I735">
        <v>2</v>
      </c>
      <c r="J735" s="2">
        <v>15.99</v>
      </c>
      <c r="K735" s="2">
        <v>31.98</v>
      </c>
      <c r="L735">
        <v>5</v>
      </c>
      <c r="M735" t="str">
        <f>IF(Table1[[#This Row],[Customer Rating]]&gt;=3,"Good","Average")</f>
        <v>Good</v>
      </c>
    </row>
    <row r="736" spans="1:13" x14ac:dyDescent="0.25">
      <c r="A736" t="s">
        <v>786</v>
      </c>
      <c r="B736" s="4">
        <v>45639</v>
      </c>
      <c r="C736" s="4" t="str">
        <f>TEXT(Table1[[#This Row],[Order Date]],"mmm")</f>
        <v>Dec</v>
      </c>
      <c r="D736" s="4" t="str">
        <f>TEXT(Table1[[#This Row],[Order Date]],"yyyy")</f>
        <v>2024</v>
      </c>
      <c r="E736" t="s">
        <v>45</v>
      </c>
      <c r="F736" t="s">
        <v>29</v>
      </c>
      <c r="G736" t="s">
        <v>62</v>
      </c>
      <c r="H736" t="s">
        <v>23</v>
      </c>
      <c r="I736">
        <v>1</v>
      </c>
      <c r="J736" s="2">
        <v>9.99</v>
      </c>
      <c r="K736" s="2">
        <v>9.99</v>
      </c>
      <c r="L736">
        <v>5</v>
      </c>
      <c r="M736" t="str">
        <f>IF(Table1[[#This Row],[Customer Rating]]&gt;=3,"Good","Average")</f>
        <v>Good</v>
      </c>
    </row>
    <row r="737" spans="1:13" x14ac:dyDescent="0.25">
      <c r="A737" t="s">
        <v>787</v>
      </c>
      <c r="B737" s="4">
        <v>45479</v>
      </c>
      <c r="C737" s="4" t="str">
        <f>TEXT(Table1[[#This Row],[Order Date]],"mmm")</f>
        <v>Jul</v>
      </c>
      <c r="D737" s="4" t="str">
        <f>TEXT(Table1[[#This Row],[Order Date]],"yyyy")</f>
        <v>2024</v>
      </c>
      <c r="E737" t="s">
        <v>25</v>
      </c>
      <c r="F737" t="s">
        <v>29</v>
      </c>
      <c r="G737" t="s">
        <v>119</v>
      </c>
      <c r="H737" t="s">
        <v>19</v>
      </c>
      <c r="I737">
        <v>1</v>
      </c>
      <c r="J737" s="2">
        <v>4.99</v>
      </c>
      <c r="K737" s="2">
        <v>4.99</v>
      </c>
      <c r="L737">
        <v>5</v>
      </c>
      <c r="M737" t="str">
        <f>IF(Table1[[#This Row],[Customer Rating]]&gt;=3,"Good","Average")</f>
        <v>Good</v>
      </c>
    </row>
    <row r="738" spans="1:13" x14ac:dyDescent="0.25">
      <c r="A738" t="s">
        <v>788</v>
      </c>
      <c r="B738" s="4">
        <v>46004</v>
      </c>
      <c r="C738" s="4" t="str">
        <f>TEXT(Table1[[#This Row],[Order Date]],"mmm")</f>
        <v>Dec</v>
      </c>
      <c r="D738" s="4" t="str">
        <f>TEXT(Table1[[#This Row],[Order Date]],"yyyy")</f>
        <v>2025</v>
      </c>
      <c r="E738" t="s">
        <v>34</v>
      </c>
      <c r="F738" t="s">
        <v>12</v>
      </c>
      <c r="G738" t="s">
        <v>50</v>
      </c>
      <c r="H738" t="s">
        <v>14</v>
      </c>
      <c r="I738">
        <v>3</v>
      </c>
      <c r="J738" s="2">
        <v>22.99</v>
      </c>
      <c r="K738" s="2">
        <v>68.97</v>
      </c>
      <c r="L738">
        <v>5</v>
      </c>
      <c r="M738" t="str">
        <f>IF(Table1[[#This Row],[Customer Rating]]&gt;=3,"Good","Average")</f>
        <v>Good</v>
      </c>
    </row>
    <row r="739" spans="1:13" x14ac:dyDescent="0.25">
      <c r="A739" t="s">
        <v>789</v>
      </c>
      <c r="B739" s="4">
        <v>45621</v>
      </c>
      <c r="C739" s="4" t="str">
        <f>TEXT(Table1[[#This Row],[Order Date]],"mmm")</f>
        <v>Nov</v>
      </c>
      <c r="D739" s="4" t="str">
        <f>TEXT(Table1[[#This Row],[Order Date]],"yyyy")</f>
        <v>2024</v>
      </c>
      <c r="E739" t="s">
        <v>38</v>
      </c>
      <c r="F739" t="s">
        <v>29</v>
      </c>
      <c r="G739" t="s">
        <v>52</v>
      </c>
      <c r="H739" t="s">
        <v>19</v>
      </c>
      <c r="I739">
        <v>2</v>
      </c>
      <c r="J739" s="2">
        <v>6.99</v>
      </c>
      <c r="K739" s="2">
        <v>13.98</v>
      </c>
      <c r="L739">
        <v>1</v>
      </c>
      <c r="M739" t="str">
        <f>IF(Table1[[#This Row],[Customer Rating]]&gt;=3,"Good","Average")</f>
        <v>Average</v>
      </c>
    </row>
    <row r="740" spans="1:13" x14ac:dyDescent="0.25">
      <c r="A740" t="s">
        <v>790</v>
      </c>
      <c r="B740" s="4">
        <v>45604</v>
      </c>
      <c r="C740" s="4" t="str">
        <f>TEXT(Table1[[#This Row],[Order Date]],"mmm")</f>
        <v>Nov</v>
      </c>
      <c r="D740" s="4" t="str">
        <f>TEXT(Table1[[#This Row],[Order Date]],"yyyy")</f>
        <v>2024</v>
      </c>
      <c r="E740" t="s">
        <v>28</v>
      </c>
      <c r="F740" t="s">
        <v>12</v>
      </c>
      <c r="G740" t="s">
        <v>79</v>
      </c>
      <c r="H740" t="s">
        <v>67</v>
      </c>
      <c r="I740">
        <v>1</v>
      </c>
      <c r="J740" s="2">
        <v>10.99</v>
      </c>
      <c r="K740" s="2">
        <v>10.99</v>
      </c>
      <c r="L740">
        <v>4</v>
      </c>
      <c r="M740" t="str">
        <f>IF(Table1[[#This Row],[Customer Rating]]&gt;=3,"Good","Average")</f>
        <v>Good</v>
      </c>
    </row>
    <row r="741" spans="1:13" x14ac:dyDescent="0.25">
      <c r="A741" t="s">
        <v>791</v>
      </c>
      <c r="B741" s="4">
        <v>45374</v>
      </c>
      <c r="C741" s="4" t="str">
        <f>TEXT(Table1[[#This Row],[Order Date]],"mmm")</f>
        <v>Mar</v>
      </c>
      <c r="D741" s="4" t="str">
        <f>TEXT(Table1[[#This Row],[Order Date]],"yyyy")</f>
        <v>2024</v>
      </c>
      <c r="E741" t="s">
        <v>21</v>
      </c>
      <c r="F741" t="s">
        <v>29</v>
      </c>
      <c r="G741" t="s">
        <v>39</v>
      </c>
      <c r="H741" t="s">
        <v>14</v>
      </c>
      <c r="I741">
        <v>1</v>
      </c>
      <c r="J741" s="2">
        <v>24.99</v>
      </c>
      <c r="K741" s="2">
        <v>24.99</v>
      </c>
      <c r="L741">
        <v>4</v>
      </c>
      <c r="M741" t="str">
        <f>IF(Table1[[#This Row],[Customer Rating]]&gt;=3,"Good","Average")</f>
        <v>Good</v>
      </c>
    </row>
    <row r="742" spans="1:13" x14ac:dyDescent="0.25">
      <c r="A742" t="s">
        <v>792</v>
      </c>
      <c r="B742" s="4">
        <v>45479</v>
      </c>
      <c r="C742" s="4" t="str">
        <f>TEXT(Table1[[#This Row],[Order Date]],"mmm")</f>
        <v>Jul</v>
      </c>
      <c r="D742" s="4" t="str">
        <f>TEXT(Table1[[#This Row],[Order Date]],"yyyy")</f>
        <v>2024</v>
      </c>
      <c r="E742" t="s">
        <v>16</v>
      </c>
      <c r="F742" t="s">
        <v>29</v>
      </c>
      <c r="G742" t="s">
        <v>83</v>
      </c>
      <c r="H742" t="s">
        <v>14</v>
      </c>
      <c r="I742">
        <v>1</v>
      </c>
      <c r="J742" s="2">
        <v>17.989999999999998</v>
      </c>
      <c r="K742" s="2">
        <v>17.989999999999998</v>
      </c>
      <c r="L742">
        <v>5</v>
      </c>
      <c r="M742" t="str">
        <f>IF(Table1[[#This Row],[Customer Rating]]&gt;=3,"Good","Average")</f>
        <v>Good</v>
      </c>
    </row>
    <row r="743" spans="1:13" x14ac:dyDescent="0.25">
      <c r="A743" t="s">
        <v>793</v>
      </c>
      <c r="B743" s="4">
        <v>46014</v>
      </c>
      <c r="C743" s="4" t="str">
        <f>TEXT(Table1[[#This Row],[Order Date]],"mmm")</f>
        <v>Dec</v>
      </c>
      <c r="D743" s="4" t="str">
        <f>TEXT(Table1[[#This Row],[Order Date]],"yyyy")</f>
        <v>2025</v>
      </c>
      <c r="E743" t="s">
        <v>21</v>
      </c>
      <c r="F743" t="s">
        <v>29</v>
      </c>
      <c r="G743" t="s">
        <v>119</v>
      </c>
      <c r="H743" t="s">
        <v>19</v>
      </c>
      <c r="I743">
        <v>1</v>
      </c>
      <c r="J743" s="2">
        <v>4.99</v>
      </c>
      <c r="K743" s="2">
        <v>4.99</v>
      </c>
      <c r="L743">
        <v>5</v>
      </c>
      <c r="M743" t="str">
        <f>IF(Table1[[#This Row],[Customer Rating]]&gt;=3,"Good","Average")</f>
        <v>Good</v>
      </c>
    </row>
    <row r="744" spans="1:13" x14ac:dyDescent="0.25">
      <c r="A744" t="s">
        <v>794</v>
      </c>
      <c r="B744" s="4">
        <v>45311</v>
      </c>
      <c r="C744" s="4" t="str">
        <f>TEXT(Table1[[#This Row],[Order Date]],"mmm")</f>
        <v>Jan</v>
      </c>
      <c r="D744" s="4" t="str">
        <f>TEXT(Table1[[#This Row],[Order Date]],"yyyy")</f>
        <v>2024</v>
      </c>
      <c r="E744" t="s">
        <v>38</v>
      </c>
      <c r="F744" t="s">
        <v>29</v>
      </c>
      <c r="G744" t="s">
        <v>79</v>
      </c>
      <c r="H744" t="s">
        <v>67</v>
      </c>
      <c r="I744">
        <v>1</v>
      </c>
      <c r="J744" s="2">
        <v>10.99</v>
      </c>
      <c r="K744" s="2">
        <v>10.99</v>
      </c>
      <c r="L744">
        <v>3</v>
      </c>
      <c r="M744" t="str">
        <f>IF(Table1[[#This Row],[Customer Rating]]&gt;=3,"Good","Average")</f>
        <v>Good</v>
      </c>
    </row>
    <row r="745" spans="1:13" x14ac:dyDescent="0.25">
      <c r="A745" t="s">
        <v>795</v>
      </c>
      <c r="B745" s="4">
        <v>45888</v>
      </c>
      <c r="C745" s="4" t="str">
        <f>TEXT(Table1[[#This Row],[Order Date]],"mmm")</f>
        <v>Aug</v>
      </c>
      <c r="D745" s="4" t="str">
        <f>TEXT(Table1[[#This Row],[Order Date]],"yyyy")</f>
        <v>2025</v>
      </c>
      <c r="E745" t="s">
        <v>11</v>
      </c>
      <c r="F745" t="s">
        <v>12</v>
      </c>
      <c r="G745" t="s">
        <v>50</v>
      </c>
      <c r="H745" t="s">
        <v>14</v>
      </c>
      <c r="I745">
        <v>1</v>
      </c>
      <c r="J745" s="2">
        <v>22.99</v>
      </c>
      <c r="K745" s="2">
        <v>22.99</v>
      </c>
      <c r="L745">
        <v>5</v>
      </c>
      <c r="M745" t="str">
        <f>IF(Table1[[#This Row],[Customer Rating]]&gt;=3,"Good","Average")</f>
        <v>Good</v>
      </c>
    </row>
    <row r="746" spans="1:13" x14ac:dyDescent="0.25">
      <c r="A746" t="s">
        <v>796</v>
      </c>
      <c r="B746" s="4">
        <v>45767</v>
      </c>
      <c r="C746" s="4" t="str">
        <f>TEXT(Table1[[#This Row],[Order Date]],"mmm")</f>
        <v>Apr</v>
      </c>
      <c r="D746" s="4" t="str">
        <f>TEXT(Table1[[#This Row],[Order Date]],"yyyy")</f>
        <v>2025</v>
      </c>
      <c r="E746" t="s">
        <v>45</v>
      </c>
      <c r="F746" t="s">
        <v>29</v>
      </c>
      <c r="G746" t="s">
        <v>119</v>
      </c>
      <c r="H746" t="s">
        <v>19</v>
      </c>
      <c r="I746">
        <v>1</v>
      </c>
      <c r="J746" s="2">
        <v>4.99</v>
      </c>
      <c r="K746" s="2">
        <v>4.99</v>
      </c>
      <c r="L746">
        <v>3</v>
      </c>
      <c r="M746" t="str">
        <f>IF(Table1[[#This Row],[Customer Rating]]&gt;=3,"Good","Average")</f>
        <v>Good</v>
      </c>
    </row>
    <row r="747" spans="1:13" x14ac:dyDescent="0.25">
      <c r="A747" t="s">
        <v>797</v>
      </c>
      <c r="B747" s="4">
        <v>45531</v>
      </c>
      <c r="C747" s="4" t="str">
        <f>TEXT(Table1[[#This Row],[Order Date]],"mmm")</f>
        <v>Aug</v>
      </c>
      <c r="D747" s="4" t="str">
        <f>TEXT(Table1[[#This Row],[Order Date]],"yyyy")</f>
        <v>2024</v>
      </c>
      <c r="E747" t="s">
        <v>45</v>
      </c>
      <c r="F747" t="s">
        <v>29</v>
      </c>
      <c r="G747" t="s">
        <v>55</v>
      </c>
      <c r="H747" t="s">
        <v>23</v>
      </c>
      <c r="I747">
        <v>1</v>
      </c>
      <c r="J747" s="2">
        <v>10.99</v>
      </c>
      <c r="K747" s="2">
        <v>10.99</v>
      </c>
      <c r="L747">
        <v>4</v>
      </c>
      <c r="M747" t="str">
        <f>IF(Table1[[#This Row],[Customer Rating]]&gt;=3,"Good","Average")</f>
        <v>Good</v>
      </c>
    </row>
    <row r="748" spans="1:13" x14ac:dyDescent="0.25">
      <c r="A748" t="s">
        <v>798</v>
      </c>
      <c r="B748" s="4">
        <v>45920</v>
      </c>
      <c r="C748" s="4" t="str">
        <f>TEXT(Table1[[#This Row],[Order Date]],"mmm")</f>
        <v>Sep</v>
      </c>
      <c r="D748" s="4" t="str">
        <f>TEXT(Table1[[#This Row],[Order Date]],"yyyy")</f>
        <v>2025</v>
      </c>
      <c r="E748" t="s">
        <v>21</v>
      </c>
      <c r="F748" t="s">
        <v>29</v>
      </c>
      <c r="G748" t="s">
        <v>36</v>
      </c>
      <c r="H748" t="s">
        <v>14</v>
      </c>
      <c r="I748">
        <v>2</v>
      </c>
      <c r="J748" s="2">
        <v>16.989999999999998</v>
      </c>
      <c r="K748" s="2">
        <v>33.979999999999997</v>
      </c>
      <c r="L748">
        <v>2</v>
      </c>
      <c r="M748" t="str">
        <f>IF(Table1[[#This Row],[Customer Rating]]&gt;=3,"Good","Average")</f>
        <v>Average</v>
      </c>
    </row>
    <row r="749" spans="1:13" x14ac:dyDescent="0.25">
      <c r="A749" t="s">
        <v>799</v>
      </c>
      <c r="B749" s="4">
        <v>45638</v>
      </c>
      <c r="C749" s="4" t="str">
        <f>TEXT(Table1[[#This Row],[Order Date]],"mmm")</f>
        <v>Dec</v>
      </c>
      <c r="D749" s="4" t="str">
        <f>TEXT(Table1[[#This Row],[Order Date]],"yyyy")</f>
        <v>2024</v>
      </c>
      <c r="E749" t="s">
        <v>21</v>
      </c>
      <c r="F749" t="s">
        <v>12</v>
      </c>
      <c r="G749" t="s">
        <v>57</v>
      </c>
      <c r="H749" t="s">
        <v>14</v>
      </c>
      <c r="I749">
        <v>3</v>
      </c>
      <c r="J749" s="2">
        <v>15.99</v>
      </c>
      <c r="K749" s="2">
        <v>47.97</v>
      </c>
      <c r="L749">
        <v>3</v>
      </c>
      <c r="M749" t="str">
        <f>IF(Table1[[#This Row],[Customer Rating]]&gt;=3,"Good","Average")</f>
        <v>Good</v>
      </c>
    </row>
    <row r="750" spans="1:13" x14ac:dyDescent="0.25">
      <c r="A750" t="s">
        <v>800</v>
      </c>
      <c r="B750" s="4">
        <v>45711</v>
      </c>
      <c r="C750" s="4" t="str">
        <f>TEXT(Table1[[#This Row],[Order Date]],"mmm")</f>
        <v>Feb</v>
      </c>
      <c r="D750" s="4" t="str">
        <f>TEXT(Table1[[#This Row],[Order Date]],"yyyy")</f>
        <v>2025</v>
      </c>
      <c r="E750" t="s">
        <v>11</v>
      </c>
      <c r="F750" t="s">
        <v>17</v>
      </c>
      <c r="G750" t="s">
        <v>55</v>
      </c>
      <c r="H750" t="s">
        <v>23</v>
      </c>
      <c r="I750">
        <v>1</v>
      </c>
      <c r="J750" s="2">
        <v>10.99</v>
      </c>
      <c r="K750" s="2">
        <v>10.99</v>
      </c>
      <c r="L750">
        <v>3</v>
      </c>
      <c r="M750" t="str">
        <f>IF(Table1[[#This Row],[Customer Rating]]&gt;=3,"Good","Average")</f>
        <v>Good</v>
      </c>
    </row>
    <row r="751" spans="1:13" x14ac:dyDescent="0.25">
      <c r="A751" t="s">
        <v>801</v>
      </c>
      <c r="B751" s="4">
        <v>45894</v>
      </c>
      <c r="C751" s="4" t="str">
        <f>TEXT(Table1[[#This Row],[Order Date]],"mmm")</f>
        <v>Aug</v>
      </c>
      <c r="D751" s="4" t="str">
        <f>TEXT(Table1[[#This Row],[Order Date]],"yyyy")</f>
        <v>2025</v>
      </c>
      <c r="E751" t="s">
        <v>16</v>
      </c>
      <c r="F751" t="s">
        <v>29</v>
      </c>
      <c r="G751" t="s">
        <v>221</v>
      </c>
      <c r="H751" t="s">
        <v>67</v>
      </c>
      <c r="I751">
        <v>1</v>
      </c>
      <c r="J751" s="2">
        <v>9.99</v>
      </c>
      <c r="K751" s="2">
        <v>9.99</v>
      </c>
      <c r="L751">
        <v>5</v>
      </c>
      <c r="M751" t="str">
        <f>IF(Table1[[#This Row],[Customer Rating]]&gt;=3,"Good","Average")</f>
        <v>Good</v>
      </c>
    </row>
    <row r="752" spans="1:13" x14ac:dyDescent="0.25">
      <c r="A752" t="s">
        <v>802</v>
      </c>
      <c r="B752" s="4">
        <v>45661</v>
      </c>
      <c r="C752" s="4" t="str">
        <f>TEXT(Table1[[#This Row],[Order Date]],"mmm")</f>
        <v>Jan</v>
      </c>
      <c r="D752" s="4" t="str">
        <f>TEXT(Table1[[#This Row],[Order Date]],"yyyy")</f>
        <v>2025</v>
      </c>
      <c r="E752" t="s">
        <v>32</v>
      </c>
      <c r="F752" t="s">
        <v>29</v>
      </c>
      <c r="G752" t="s">
        <v>74</v>
      </c>
      <c r="H752" t="s">
        <v>14</v>
      </c>
      <c r="I752">
        <v>1</v>
      </c>
      <c r="J752" s="2">
        <v>14.99</v>
      </c>
      <c r="K752" s="2">
        <v>14.99</v>
      </c>
      <c r="L752">
        <v>1</v>
      </c>
      <c r="M752" t="str">
        <f>IF(Table1[[#This Row],[Customer Rating]]&gt;=3,"Good","Average")</f>
        <v>Average</v>
      </c>
    </row>
    <row r="753" spans="1:13" x14ac:dyDescent="0.25">
      <c r="A753" t="s">
        <v>803</v>
      </c>
      <c r="B753" s="4">
        <v>45763</v>
      </c>
      <c r="C753" s="4" t="str">
        <f>TEXT(Table1[[#This Row],[Order Date]],"mmm")</f>
        <v>Apr</v>
      </c>
      <c r="D753" s="4" t="str">
        <f>TEXT(Table1[[#This Row],[Order Date]],"yyyy")</f>
        <v>2025</v>
      </c>
      <c r="E753" t="s">
        <v>16</v>
      </c>
      <c r="F753" t="s">
        <v>12</v>
      </c>
      <c r="G753" t="s">
        <v>176</v>
      </c>
      <c r="H753" t="s">
        <v>67</v>
      </c>
      <c r="I753">
        <v>2</v>
      </c>
      <c r="J753" s="2">
        <v>11.99</v>
      </c>
      <c r="K753" s="2">
        <v>23.98</v>
      </c>
      <c r="L753">
        <v>5</v>
      </c>
      <c r="M753" t="str">
        <f>IF(Table1[[#This Row],[Customer Rating]]&gt;=3,"Good","Average")</f>
        <v>Good</v>
      </c>
    </row>
    <row r="754" spans="1:13" x14ac:dyDescent="0.25">
      <c r="A754" t="s">
        <v>804</v>
      </c>
      <c r="B754" s="4">
        <v>45560</v>
      </c>
      <c r="C754" s="4" t="str">
        <f>TEXT(Table1[[#This Row],[Order Date]],"mmm")</f>
        <v>Sep</v>
      </c>
      <c r="D754" s="4" t="str">
        <f>TEXT(Table1[[#This Row],[Order Date]],"yyyy")</f>
        <v>2024</v>
      </c>
      <c r="E754" t="s">
        <v>45</v>
      </c>
      <c r="F754" t="s">
        <v>29</v>
      </c>
      <c r="G754" t="s">
        <v>22</v>
      </c>
      <c r="H754" t="s">
        <v>23</v>
      </c>
      <c r="I754">
        <v>3</v>
      </c>
      <c r="J754" s="2">
        <v>8.99</v>
      </c>
      <c r="K754" s="2">
        <v>26.97</v>
      </c>
      <c r="L754">
        <v>5</v>
      </c>
      <c r="M754" t="str">
        <f>IF(Table1[[#This Row],[Customer Rating]]&gt;=3,"Good","Average")</f>
        <v>Good</v>
      </c>
    </row>
    <row r="755" spans="1:13" x14ac:dyDescent="0.25">
      <c r="A755" t="s">
        <v>805</v>
      </c>
      <c r="B755" s="4">
        <v>45645</v>
      </c>
      <c r="C755" s="4" t="str">
        <f>TEXT(Table1[[#This Row],[Order Date]],"mmm")</f>
        <v>Dec</v>
      </c>
      <c r="D755" s="4" t="str">
        <f>TEXT(Table1[[#This Row],[Order Date]],"yyyy")</f>
        <v>2024</v>
      </c>
      <c r="E755" t="s">
        <v>21</v>
      </c>
      <c r="F755" t="s">
        <v>12</v>
      </c>
      <c r="G755" t="s">
        <v>13</v>
      </c>
      <c r="H755" t="s">
        <v>14</v>
      </c>
      <c r="I755">
        <v>3</v>
      </c>
      <c r="J755" s="2">
        <v>18.989999999999998</v>
      </c>
      <c r="K755" s="2">
        <v>56.97</v>
      </c>
      <c r="L755">
        <v>5</v>
      </c>
      <c r="M755" t="str">
        <f>IF(Table1[[#This Row],[Customer Rating]]&gt;=3,"Good","Average")</f>
        <v>Good</v>
      </c>
    </row>
    <row r="756" spans="1:13" x14ac:dyDescent="0.25">
      <c r="A756" t="s">
        <v>806</v>
      </c>
      <c r="B756" s="4">
        <v>45992</v>
      </c>
      <c r="C756" s="4" t="str">
        <f>TEXT(Table1[[#This Row],[Order Date]],"mmm")</f>
        <v>Dec</v>
      </c>
      <c r="D756" s="4" t="str">
        <f>TEXT(Table1[[#This Row],[Order Date]],"yyyy")</f>
        <v>2025</v>
      </c>
      <c r="E756" t="s">
        <v>32</v>
      </c>
      <c r="F756" t="s">
        <v>29</v>
      </c>
      <c r="G756" t="s">
        <v>83</v>
      </c>
      <c r="H756" t="s">
        <v>14</v>
      </c>
      <c r="I756">
        <v>1</v>
      </c>
      <c r="J756" s="2">
        <v>17.989999999999998</v>
      </c>
      <c r="K756" s="2">
        <v>17.989999999999998</v>
      </c>
      <c r="L756">
        <v>5</v>
      </c>
      <c r="M756" t="str">
        <f>IF(Table1[[#This Row],[Customer Rating]]&gt;=3,"Good","Average")</f>
        <v>Good</v>
      </c>
    </row>
    <row r="757" spans="1:13" x14ac:dyDescent="0.25">
      <c r="A757" t="s">
        <v>807</v>
      </c>
      <c r="B757" s="4">
        <v>45449</v>
      </c>
      <c r="C757" s="4" t="str">
        <f>TEXT(Table1[[#This Row],[Order Date]],"mmm")</f>
        <v>Jun</v>
      </c>
      <c r="D757" s="4" t="str">
        <f>TEXT(Table1[[#This Row],[Order Date]],"yyyy")</f>
        <v>2024</v>
      </c>
      <c r="E757" t="s">
        <v>32</v>
      </c>
      <c r="F757" t="s">
        <v>29</v>
      </c>
      <c r="G757" t="s">
        <v>221</v>
      </c>
      <c r="H757" t="s">
        <v>67</v>
      </c>
      <c r="I757">
        <v>1</v>
      </c>
      <c r="J757" s="2">
        <v>9.99</v>
      </c>
      <c r="K757" s="2">
        <v>9.99</v>
      </c>
      <c r="L757">
        <v>3</v>
      </c>
      <c r="M757" t="str">
        <f>IF(Table1[[#This Row],[Customer Rating]]&gt;=3,"Good","Average")</f>
        <v>Good</v>
      </c>
    </row>
    <row r="758" spans="1:13" x14ac:dyDescent="0.25">
      <c r="A758" t="s">
        <v>808</v>
      </c>
      <c r="B758" s="4">
        <v>45912</v>
      </c>
      <c r="C758" s="4" t="str">
        <f>TEXT(Table1[[#This Row],[Order Date]],"mmm")</f>
        <v>Sep</v>
      </c>
      <c r="D758" s="4" t="str">
        <f>TEXT(Table1[[#This Row],[Order Date]],"yyyy")</f>
        <v>2025</v>
      </c>
      <c r="E758" t="s">
        <v>25</v>
      </c>
      <c r="F758" t="s">
        <v>12</v>
      </c>
      <c r="G758" t="s">
        <v>74</v>
      </c>
      <c r="H758" t="s">
        <v>14</v>
      </c>
      <c r="I758">
        <v>2</v>
      </c>
      <c r="J758" s="2">
        <v>14.99</v>
      </c>
      <c r="K758" s="2">
        <v>29.98</v>
      </c>
      <c r="L758">
        <v>4</v>
      </c>
      <c r="M758" t="str">
        <f>IF(Table1[[#This Row],[Customer Rating]]&gt;=3,"Good","Average")</f>
        <v>Good</v>
      </c>
    </row>
    <row r="759" spans="1:13" x14ac:dyDescent="0.25">
      <c r="A759" t="s">
        <v>809</v>
      </c>
      <c r="B759" s="4">
        <v>45946</v>
      </c>
      <c r="C759" s="4" t="str">
        <f>TEXT(Table1[[#This Row],[Order Date]],"mmm")</f>
        <v>Oct</v>
      </c>
      <c r="D759" s="4" t="str">
        <f>TEXT(Table1[[#This Row],[Order Date]],"yyyy")</f>
        <v>2025</v>
      </c>
      <c r="E759" t="s">
        <v>45</v>
      </c>
      <c r="F759" t="s">
        <v>29</v>
      </c>
      <c r="G759" t="s">
        <v>62</v>
      </c>
      <c r="H759" t="s">
        <v>23</v>
      </c>
      <c r="I759">
        <v>2</v>
      </c>
      <c r="J759" s="2">
        <v>9.99</v>
      </c>
      <c r="K759" s="2">
        <v>19.98</v>
      </c>
      <c r="L759">
        <v>4</v>
      </c>
      <c r="M759" t="str">
        <f>IF(Table1[[#This Row],[Customer Rating]]&gt;=3,"Good","Average")</f>
        <v>Good</v>
      </c>
    </row>
    <row r="760" spans="1:13" x14ac:dyDescent="0.25">
      <c r="A760" t="s">
        <v>810</v>
      </c>
      <c r="B760" s="4">
        <v>45324</v>
      </c>
      <c r="C760" s="4" t="str">
        <f>TEXT(Table1[[#This Row],[Order Date]],"mmm")</f>
        <v>Feb</v>
      </c>
      <c r="D760" s="4" t="str">
        <f>TEXT(Table1[[#This Row],[Order Date]],"yyyy")</f>
        <v>2024</v>
      </c>
      <c r="E760" t="s">
        <v>16</v>
      </c>
      <c r="F760" t="s">
        <v>12</v>
      </c>
      <c r="G760" t="s">
        <v>119</v>
      </c>
      <c r="H760" t="s">
        <v>19</v>
      </c>
      <c r="I760">
        <v>1</v>
      </c>
      <c r="J760" s="2">
        <v>4.99</v>
      </c>
      <c r="K760" s="2">
        <v>4.99</v>
      </c>
      <c r="L760">
        <v>5</v>
      </c>
      <c r="M760" t="str">
        <f>IF(Table1[[#This Row],[Customer Rating]]&gt;=3,"Good","Average")</f>
        <v>Good</v>
      </c>
    </row>
    <row r="761" spans="1:13" x14ac:dyDescent="0.25">
      <c r="A761" t="s">
        <v>811</v>
      </c>
      <c r="B761" s="4">
        <v>45557</v>
      </c>
      <c r="C761" s="4" t="str">
        <f>TEXT(Table1[[#This Row],[Order Date]],"mmm")</f>
        <v>Sep</v>
      </c>
      <c r="D761" s="4" t="str">
        <f>TEXT(Table1[[#This Row],[Order Date]],"yyyy")</f>
        <v>2024</v>
      </c>
      <c r="E761" t="s">
        <v>25</v>
      </c>
      <c r="F761" t="s">
        <v>29</v>
      </c>
      <c r="G761" t="s">
        <v>55</v>
      </c>
      <c r="H761" t="s">
        <v>23</v>
      </c>
      <c r="I761">
        <v>3</v>
      </c>
      <c r="J761" s="2">
        <v>10.99</v>
      </c>
      <c r="K761" s="2">
        <v>32.97</v>
      </c>
      <c r="L761">
        <v>5</v>
      </c>
      <c r="M761" t="str">
        <f>IF(Table1[[#This Row],[Customer Rating]]&gt;=3,"Good","Average")</f>
        <v>Good</v>
      </c>
    </row>
    <row r="762" spans="1:13" x14ac:dyDescent="0.25">
      <c r="A762" t="s">
        <v>812</v>
      </c>
      <c r="B762" s="4">
        <v>45533</v>
      </c>
      <c r="C762" s="4" t="str">
        <f>TEXT(Table1[[#This Row],[Order Date]],"mmm")</f>
        <v>Aug</v>
      </c>
      <c r="D762" s="4" t="str">
        <f>TEXT(Table1[[#This Row],[Order Date]],"yyyy")</f>
        <v>2024</v>
      </c>
      <c r="E762" t="s">
        <v>21</v>
      </c>
      <c r="F762" t="s">
        <v>12</v>
      </c>
      <c r="G762" t="s">
        <v>41</v>
      </c>
      <c r="H762" t="s">
        <v>23</v>
      </c>
      <c r="I762">
        <v>3</v>
      </c>
      <c r="J762" s="2">
        <v>12.99</v>
      </c>
      <c r="K762" s="2">
        <v>38.97</v>
      </c>
      <c r="L762">
        <v>4</v>
      </c>
      <c r="M762" t="str">
        <f>IF(Table1[[#This Row],[Customer Rating]]&gt;=3,"Good","Average")</f>
        <v>Good</v>
      </c>
    </row>
    <row r="763" spans="1:13" x14ac:dyDescent="0.25">
      <c r="A763" t="s">
        <v>813</v>
      </c>
      <c r="B763" s="4">
        <v>45738</v>
      </c>
      <c r="C763" s="4" t="str">
        <f>TEXT(Table1[[#This Row],[Order Date]],"mmm")</f>
        <v>Mar</v>
      </c>
      <c r="D763" s="4" t="str">
        <f>TEXT(Table1[[#This Row],[Order Date]],"yyyy")</f>
        <v>2025</v>
      </c>
      <c r="E763" t="s">
        <v>32</v>
      </c>
      <c r="F763" t="s">
        <v>29</v>
      </c>
      <c r="G763" t="s">
        <v>55</v>
      </c>
      <c r="H763" t="s">
        <v>23</v>
      </c>
      <c r="I763">
        <v>1</v>
      </c>
      <c r="J763" s="2">
        <v>10.99</v>
      </c>
      <c r="K763" s="2">
        <v>10.99</v>
      </c>
      <c r="L763">
        <v>3</v>
      </c>
      <c r="M763" t="str">
        <f>IF(Table1[[#This Row],[Customer Rating]]&gt;=3,"Good","Average")</f>
        <v>Good</v>
      </c>
    </row>
    <row r="764" spans="1:13" x14ac:dyDescent="0.25">
      <c r="A764" t="s">
        <v>814</v>
      </c>
      <c r="B764" s="4">
        <v>45859</v>
      </c>
      <c r="C764" s="4" t="str">
        <f>TEXT(Table1[[#This Row],[Order Date]],"mmm")</f>
        <v>Jul</v>
      </c>
      <c r="D764" s="4" t="str">
        <f>TEXT(Table1[[#This Row],[Order Date]],"yyyy")</f>
        <v>2025</v>
      </c>
      <c r="E764" t="s">
        <v>97</v>
      </c>
      <c r="F764" t="s">
        <v>29</v>
      </c>
      <c r="G764" t="s">
        <v>83</v>
      </c>
      <c r="H764" t="s">
        <v>14</v>
      </c>
      <c r="I764">
        <v>1</v>
      </c>
      <c r="J764" s="2">
        <v>17.989999999999998</v>
      </c>
      <c r="K764" s="2">
        <v>17.989999999999998</v>
      </c>
      <c r="L764">
        <v>4</v>
      </c>
      <c r="M764" t="str">
        <f>IF(Table1[[#This Row],[Customer Rating]]&gt;=3,"Good","Average")</f>
        <v>Good</v>
      </c>
    </row>
    <row r="765" spans="1:13" x14ac:dyDescent="0.25">
      <c r="A765" t="s">
        <v>815</v>
      </c>
      <c r="B765" s="4">
        <v>45626</v>
      </c>
      <c r="C765" s="4" t="str">
        <f>TEXT(Table1[[#This Row],[Order Date]],"mmm")</f>
        <v>Nov</v>
      </c>
      <c r="D765" s="4" t="str">
        <f>TEXT(Table1[[#This Row],[Order Date]],"yyyy")</f>
        <v>2024</v>
      </c>
      <c r="E765" t="s">
        <v>45</v>
      </c>
      <c r="F765" t="s">
        <v>12</v>
      </c>
      <c r="G765" t="s">
        <v>18</v>
      </c>
      <c r="H765" t="s">
        <v>19</v>
      </c>
      <c r="I765">
        <v>3</v>
      </c>
      <c r="J765" s="2">
        <v>9.99</v>
      </c>
      <c r="K765" s="2">
        <v>29.97</v>
      </c>
      <c r="L765">
        <v>5</v>
      </c>
      <c r="M765" t="str">
        <f>IF(Table1[[#This Row],[Customer Rating]]&gt;=3,"Good","Average")</f>
        <v>Good</v>
      </c>
    </row>
    <row r="766" spans="1:13" x14ac:dyDescent="0.25">
      <c r="A766" t="s">
        <v>816</v>
      </c>
      <c r="B766" s="4">
        <v>45630</v>
      </c>
      <c r="C766" s="4" t="str">
        <f>TEXT(Table1[[#This Row],[Order Date]],"mmm")</f>
        <v>Dec</v>
      </c>
      <c r="D766" s="4" t="str">
        <f>TEXT(Table1[[#This Row],[Order Date]],"yyyy")</f>
        <v>2024</v>
      </c>
      <c r="E766" t="s">
        <v>25</v>
      </c>
      <c r="F766" t="s">
        <v>17</v>
      </c>
      <c r="G766" t="s">
        <v>57</v>
      </c>
      <c r="H766" t="s">
        <v>14</v>
      </c>
      <c r="I766">
        <v>1</v>
      </c>
      <c r="J766" s="2">
        <v>15.99</v>
      </c>
      <c r="K766" s="2">
        <v>15.99</v>
      </c>
      <c r="L766">
        <v>4</v>
      </c>
      <c r="M766" t="str">
        <f>IF(Table1[[#This Row],[Customer Rating]]&gt;=3,"Good","Average")</f>
        <v>Good</v>
      </c>
    </row>
    <row r="767" spans="1:13" x14ac:dyDescent="0.25">
      <c r="A767" t="s">
        <v>817</v>
      </c>
      <c r="B767" s="4">
        <v>45997</v>
      </c>
      <c r="C767" s="4" t="str">
        <f>TEXT(Table1[[#This Row],[Order Date]],"mmm")</f>
        <v>Dec</v>
      </c>
      <c r="D767" s="4" t="str">
        <f>TEXT(Table1[[#This Row],[Order Date]],"yyyy")</f>
        <v>2025</v>
      </c>
      <c r="E767" t="s">
        <v>97</v>
      </c>
      <c r="F767" t="s">
        <v>29</v>
      </c>
      <c r="G767" t="s">
        <v>36</v>
      </c>
      <c r="H767" t="s">
        <v>14</v>
      </c>
      <c r="I767">
        <v>1</v>
      </c>
      <c r="J767" s="2">
        <v>16.989999999999998</v>
      </c>
      <c r="K767" s="2">
        <v>16.989999999999998</v>
      </c>
      <c r="L767">
        <v>2</v>
      </c>
      <c r="M767" t="str">
        <f>IF(Table1[[#This Row],[Customer Rating]]&gt;=3,"Good","Average")</f>
        <v>Average</v>
      </c>
    </row>
    <row r="768" spans="1:13" x14ac:dyDescent="0.25">
      <c r="A768" t="s">
        <v>818</v>
      </c>
      <c r="B768" s="4">
        <v>45334</v>
      </c>
      <c r="C768" s="4" t="str">
        <f>TEXT(Table1[[#This Row],[Order Date]],"mmm")</f>
        <v>Feb</v>
      </c>
      <c r="D768" s="4" t="str">
        <f>TEXT(Table1[[#This Row],[Order Date]],"yyyy")</f>
        <v>2024</v>
      </c>
      <c r="E768" t="s">
        <v>11</v>
      </c>
      <c r="F768" t="s">
        <v>29</v>
      </c>
      <c r="G768" t="s">
        <v>119</v>
      </c>
      <c r="H768" t="s">
        <v>19</v>
      </c>
      <c r="I768">
        <v>1</v>
      </c>
      <c r="J768" s="2">
        <v>4.99</v>
      </c>
      <c r="K768" s="2">
        <v>4.99</v>
      </c>
      <c r="L768">
        <v>4</v>
      </c>
      <c r="M768" t="str">
        <f>IF(Table1[[#This Row],[Customer Rating]]&gt;=3,"Good","Average")</f>
        <v>Good</v>
      </c>
    </row>
    <row r="769" spans="1:13" x14ac:dyDescent="0.25">
      <c r="A769" t="s">
        <v>819</v>
      </c>
      <c r="B769" s="4">
        <v>45298</v>
      </c>
      <c r="C769" s="4" t="str">
        <f>TEXT(Table1[[#This Row],[Order Date]],"mmm")</f>
        <v>Jan</v>
      </c>
      <c r="D769" s="4" t="str">
        <f>TEXT(Table1[[#This Row],[Order Date]],"yyyy")</f>
        <v>2024</v>
      </c>
      <c r="E769" t="s">
        <v>11</v>
      </c>
      <c r="F769" t="s">
        <v>12</v>
      </c>
      <c r="G769" t="s">
        <v>52</v>
      </c>
      <c r="H769" t="s">
        <v>19</v>
      </c>
      <c r="I769">
        <v>2</v>
      </c>
      <c r="J769" s="2">
        <v>6.99</v>
      </c>
      <c r="K769" s="2">
        <v>13.98</v>
      </c>
      <c r="L769">
        <v>3</v>
      </c>
      <c r="M769" t="str">
        <f>IF(Table1[[#This Row],[Customer Rating]]&gt;=3,"Good","Average")</f>
        <v>Good</v>
      </c>
    </row>
    <row r="770" spans="1:13" x14ac:dyDescent="0.25">
      <c r="A770" t="s">
        <v>820</v>
      </c>
      <c r="B770" s="4">
        <v>45898</v>
      </c>
      <c r="C770" s="4" t="str">
        <f>TEXT(Table1[[#This Row],[Order Date]],"mmm")</f>
        <v>Aug</v>
      </c>
      <c r="D770" s="4" t="str">
        <f>TEXT(Table1[[#This Row],[Order Date]],"yyyy")</f>
        <v>2025</v>
      </c>
      <c r="E770" t="s">
        <v>45</v>
      </c>
      <c r="F770" t="s">
        <v>29</v>
      </c>
      <c r="G770" t="s">
        <v>50</v>
      </c>
      <c r="H770" t="s">
        <v>14</v>
      </c>
      <c r="I770">
        <v>2</v>
      </c>
      <c r="J770" s="2">
        <v>22.99</v>
      </c>
      <c r="K770" s="2">
        <v>45.98</v>
      </c>
      <c r="L770">
        <v>3</v>
      </c>
      <c r="M770" t="str">
        <f>IF(Table1[[#This Row],[Customer Rating]]&gt;=3,"Good","Average")</f>
        <v>Good</v>
      </c>
    </row>
    <row r="771" spans="1:13" x14ac:dyDescent="0.25">
      <c r="A771" t="s">
        <v>821</v>
      </c>
      <c r="B771" s="4">
        <v>45729</v>
      </c>
      <c r="C771" s="4" t="str">
        <f>TEXT(Table1[[#This Row],[Order Date]],"mmm")</f>
        <v>Mar</v>
      </c>
      <c r="D771" s="4" t="str">
        <f>TEXT(Table1[[#This Row],[Order Date]],"yyyy")</f>
        <v>2025</v>
      </c>
      <c r="E771" t="s">
        <v>38</v>
      </c>
      <c r="F771" t="s">
        <v>17</v>
      </c>
      <c r="G771" t="s">
        <v>26</v>
      </c>
      <c r="H771" t="s">
        <v>19</v>
      </c>
      <c r="I771">
        <v>3</v>
      </c>
      <c r="J771" s="2">
        <v>3.49</v>
      </c>
      <c r="K771" s="2">
        <v>10.47</v>
      </c>
      <c r="L771">
        <v>5</v>
      </c>
      <c r="M771" t="str">
        <f>IF(Table1[[#This Row],[Customer Rating]]&gt;=3,"Good","Average")</f>
        <v>Good</v>
      </c>
    </row>
    <row r="772" spans="1:13" x14ac:dyDescent="0.25">
      <c r="A772" t="s">
        <v>822</v>
      </c>
      <c r="B772" s="4">
        <v>45403</v>
      </c>
      <c r="C772" s="4" t="str">
        <f>TEXT(Table1[[#This Row],[Order Date]],"mmm")</f>
        <v>Apr</v>
      </c>
      <c r="D772" s="4" t="str">
        <f>TEXT(Table1[[#This Row],[Order Date]],"yyyy")</f>
        <v>2024</v>
      </c>
      <c r="E772" t="s">
        <v>16</v>
      </c>
      <c r="F772" t="s">
        <v>29</v>
      </c>
      <c r="G772" t="s">
        <v>50</v>
      </c>
      <c r="H772" t="s">
        <v>14</v>
      </c>
      <c r="I772">
        <v>2</v>
      </c>
      <c r="J772" s="2">
        <v>22.99</v>
      </c>
      <c r="K772" s="2">
        <v>45.98</v>
      </c>
      <c r="L772">
        <v>5</v>
      </c>
      <c r="M772" t="str">
        <f>IF(Table1[[#This Row],[Customer Rating]]&gt;=3,"Good","Average")</f>
        <v>Good</v>
      </c>
    </row>
    <row r="773" spans="1:13" x14ac:dyDescent="0.25">
      <c r="A773" t="s">
        <v>823</v>
      </c>
      <c r="B773" s="4">
        <v>45468</v>
      </c>
      <c r="C773" s="4" t="str">
        <f>TEXT(Table1[[#This Row],[Order Date]],"mmm")</f>
        <v>Jun</v>
      </c>
      <c r="D773" s="4" t="str">
        <f>TEXT(Table1[[#This Row],[Order Date]],"yyyy")</f>
        <v>2024</v>
      </c>
      <c r="E773" t="s">
        <v>11</v>
      </c>
      <c r="F773" t="s">
        <v>29</v>
      </c>
      <c r="G773" t="s">
        <v>74</v>
      </c>
      <c r="H773" t="s">
        <v>14</v>
      </c>
      <c r="I773">
        <v>2</v>
      </c>
      <c r="J773" s="2">
        <v>14.99</v>
      </c>
      <c r="K773" s="2">
        <v>29.98</v>
      </c>
      <c r="L773">
        <v>5</v>
      </c>
      <c r="M773" t="str">
        <f>IF(Table1[[#This Row],[Customer Rating]]&gt;=3,"Good","Average")</f>
        <v>Good</v>
      </c>
    </row>
    <row r="774" spans="1:13" x14ac:dyDescent="0.25">
      <c r="A774" t="s">
        <v>824</v>
      </c>
      <c r="B774" s="4">
        <v>45754</v>
      </c>
      <c r="C774" s="4" t="str">
        <f>TEXT(Table1[[#This Row],[Order Date]],"mmm")</f>
        <v>Apr</v>
      </c>
      <c r="D774" s="4" t="str">
        <f>TEXT(Table1[[#This Row],[Order Date]],"yyyy")</f>
        <v>2025</v>
      </c>
      <c r="E774" t="s">
        <v>32</v>
      </c>
      <c r="F774" t="s">
        <v>29</v>
      </c>
      <c r="G774" t="s">
        <v>13</v>
      </c>
      <c r="H774" t="s">
        <v>14</v>
      </c>
      <c r="I774">
        <v>1</v>
      </c>
      <c r="J774" s="2">
        <v>18.989999999999998</v>
      </c>
      <c r="K774" s="2">
        <v>18.989999999999998</v>
      </c>
      <c r="L774">
        <v>3</v>
      </c>
      <c r="M774" t="str">
        <f>IF(Table1[[#This Row],[Customer Rating]]&gt;=3,"Good","Average")</f>
        <v>Good</v>
      </c>
    </row>
    <row r="775" spans="1:13" x14ac:dyDescent="0.25">
      <c r="A775" t="s">
        <v>825</v>
      </c>
      <c r="B775" s="4">
        <v>45477</v>
      </c>
      <c r="C775" s="4" t="str">
        <f>TEXT(Table1[[#This Row],[Order Date]],"mmm")</f>
        <v>Jul</v>
      </c>
      <c r="D775" s="4" t="str">
        <f>TEXT(Table1[[#This Row],[Order Date]],"yyyy")</f>
        <v>2024</v>
      </c>
      <c r="E775" t="s">
        <v>97</v>
      </c>
      <c r="F775" t="s">
        <v>17</v>
      </c>
      <c r="G775" t="s">
        <v>22</v>
      </c>
      <c r="H775" t="s">
        <v>23</v>
      </c>
      <c r="I775">
        <v>3</v>
      </c>
      <c r="J775" s="2">
        <v>8.99</v>
      </c>
      <c r="K775" s="2">
        <v>26.97</v>
      </c>
      <c r="L775">
        <v>3</v>
      </c>
      <c r="M775" t="str">
        <f>IF(Table1[[#This Row],[Customer Rating]]&gt;=3,"Good","Average")</f>
        <v>Good</v>
      </c>
    </row>
    <row r="776" spans="1:13" x14ac:dyDescent="0.25">
      <c r="A776" t="s">
        <v>826</v>
      </c>
      <c r="B776" s="4">
        <v>45871</v>
      </c>
      <c r="C776" s="4" t="str">
        <f>TEXT(Table1[[#This Row],[Order Date]],"mmm")</f>
        <v>Aug</v>
      </c>
      <c r="D776" s="4" t="str">
        <f>TEXT(Table1[[#This Row],[Order Date]],"yyyy")</f>
        <v>2025</v>
      </c>
      <c r="E776" t="s">
        <v>32</v>
      </c>
      <c r="F776" t="s">
        <v>12</v>
      </c>
      <c r="G776" t="s">
        <v>66</v>
      </c>
      <c r="H776" t="s">
        <v>67</v>
      </c>
      <c r="I776">
        <v>2</v>
      </c>
      <c r="J776" s="2">
        <v>7.99</v>
      </c>
      <c r="K776" s="2">
        <v>15.98</v>
      </c>
      <c r="L776">
        <v>5</v>
      </c>
      <c r="M776" t="str">
        <f>IF(Table1[[#This Row],[Customer Rating]]&gt;=3,"Good","Average")</f>
        <v>Good</v>
      </c>
    </row>
    <row r="777" spans="1:13" x14ac:dyDescent="0.25">
      <c r="A777" t="s">
        <v>827</v>
      </c>
      <c r="B777" s="4">
        <v>45459</v>
      </c>
      <c r="C777" s="4" t="str">
        <f>TEXT(Table1[[#This Row],[Order Date]],"mmm")</f>
        <v>Jun</v>
      </c>
      <c r="D777" s="4" t="str">
        <f>TEXT(Table1[[#This Row],[Order Date]],"yyyy")</f>
        <v>2024</v>
      </c>
      <c r="E777" t="s">
        <v>45</v>
      </c>
      <c r="F777" t="s">
        <v>12</v>
      </c>
      <c r="G777" t="s">
        <v>142</v>
      </c>
      <c r="H777" t="s">
        <v>23</v>
      </c>
      <c r="I777">
        <v>2</v>
      </c>
      <c r="J777" s="2">
        <v>14.99</v>
      </c>
      <c r="K777" s="2">
        <v>29.98</v>
      </c>
      <c r="L777">
        <v>5</v>
      </c>
      <c r="M777" t="str">
        <f>IF(Table1[[#This Row],[Customer Rating]]&gt;=3,"Good","Average")</f>
        <v>Good</v>
      </c>
    </row>
    <row r="778" spans="1:13" x14ac:dyDescent="0.25">
      <c r="A778" t="s">
        <v>828</v>
      </c>
      <c r="B778" s="4">
        <v>46001</v>
      </c>
      <c r="C778" s="4" t="str">
        <f>TEXT(Table1[[#This Row],[Order Date]],"mmm")</f>
        <v>Dec</v>
      </c>
      <c r="D778" s="4" t="str">
        <f>TEXT(Table1[[#This Row],[Order Date]],"yyyy")</f>
        <v>2025</v>
      </c>
      <c r="E778" t="s">
        <v>45</v>
      </c>
      <c r="F778" t="s">
        <v>29</v>
      </c>
      <c r="G778" t="s">
        <v>50</v>
      </c>
      <c r="H778" t="s">
        <v>14</v>
      </c>
      <c r="I778">
        <v>2</v>
      </c>
      <c r="J778" s="2">
        <v>22.99</v>
      </c>
      <c r="K778" s="2">
        <v>45.98</v>
      </c>
      <c r="L778">
        <v>3</v>
      </c>
      <c r="M778" t="str">
        <f>IF(Table1[[#This Row],[Customer Rating]]&gt;=3,"Good","Average")</f>
        <v>Good</v>
      </c>
    </row>
    <row r="779" spans="1:13" x14ac:dyDescent="0.25">
      <c r="A779" t="s">
        <v>829</v>
      </c>
      <c r="B779" s="4">
        <v>45712</v>
      </c>
      <c r="C779" s="4" t="str">
        <f>TEXT(Table1[[#This Row],[Order Date]],"mmm")</f>
        <v>Feb</v>
      </c>
      <c r="D779" s="4" t="str">
        <f>TEXT(Table1[[#This Row],[Order Date]],"yyyy")</f>
        <v>2025</v>
      </c>
      <c r="E779" t="s">
        <v>21</v>
      </c>
      <c r="F779" t="s">
        <v>12</v>
      </c>
      <c r="G779" t="s">
        <v>41</v>
      </c>
      <c r="H779" t="s">
        <v>23</v>
      </c>
      <c r="I779">
        <v>3</v>
      </c>
      <c r="J779" s="2">
        <v>12.99</v>
      </c>
      <c r="K779" s="2">
        <v>38.97</v>
      </c>
      <c r="L779">
        <v>4</v>
      </c>
      <c r="M779" t="str">
        <f>IF(Table1[[#This Row],[Customer Rating]]&gt;=3,"Good","Average")</f>
        <v>Good</v>
      </c>
    </row>
    <row r="780" spans="1:13" x14ac:dyDescent="0.25">
      <c r="A780" t="s">
        <v>830</v>
      </c>
      <c r="B780" s="4">
        <v>45897</v>
      </c>
      <c r="C780" s="4" t="str">
        <f>TEXT(Table1[[#This Row],[Order Date]],"mmm")</f>
        <v>Aug</v>
      </c>
      <c r="D780" s="4" t="str">
        <f>TEXT(Table1[[#This Row],[Order Date]],"yyyy")</f>
        <v>2025</v>
      </c>
      <c r="E780" t="s">
        <v>28</v>
      </c>
      <c r="F780" t="s">
        <v>29</v>
      </c>
      <c r="G780" t="s">
        <v>57</v>
      </c>
      <c r="H780" t="s">
        <v>14</v>
      </c>
      <c r="I780">
        <v>1</v>
      </c>
      <c r="J780" s="2">
        <v>15.99</v>
      </c>
      <c r="K780" s="2">
        <v>15.99</v>
      </c>
      <c r="L780">
        <v>4</v>
      </c>
      <c r="M780" t="str">
        <f>IF(Table1[[#This Row],[Customer Rating]]&gt;=3,"Good","Average")</f>
        <v>Good</v>
      </c>
    </row>
    <row r="781" spans="1:13" x14ac:dyDescent="0.25">
      <c r="A781" t="s">
        <v>831</v>
      </c>
      <c r="B781" s="4">
        <v>45386</v>
      </c>
      <c r="C781" s="4" t="str">
        <f>TEXT(Table1[[#This Row],[Order Date]],"mmm")</f>
        <v>Apr</v>
      </c>
      <c r="D781" s="4" t="str">
        <f>TEXT(Table1[[#This Row],[Order Date]],"yyyy")</f>
        <v>2024</v>
      </c>
      <c r="E781" t="s">
        <v>16</v>
      </c>
      <c r="F781" t="s">
        <v>29</v>
      </c>
      <c r="G781" t="s">
        <v>119</v>
      </c>
      <c r="H781" t="s">
        <v>19</v>
      </c>
      <c r="I781">
        <v>4</v>
      </c>
      <c r="J781" s="2">
        <v>4.99</v>
      </c>
      <c r="K781" s="2">
        <v>19.96</v>
      </c>
      <c r="L781">
        <v>3</v>
      </c>
      <c r="M781" t="str">
        <f>IF(Table1[[#This Row],[Customer Rating]]&gt;=3,"Good","Average")</f>
        <v>Good</v>
      </c>
    </row>
    <row r="782" spans="1:13" x14ac:dyDescent="0.25">
      <c r="A782" t="s">
        <v>832</v>
      </c>
      <c r="B782" s="4">
        <v>45786</v>
      </c>
      <c r="C782" s="4" t="str">
        <f>TEXT(Table1[[#This Row],[Order Date]],"mmm")</f>
        <v>May</v>
      </c>
      <c r="D782" s="4" t="str">
        <f>TEXT(Table1[[#This Row],[Order Date]],"yyyy")</f>
        <v>2025</v>
      </c>
      <c r="E782" t="s">
        <v>21</v>
      </c>
      <c r="F782" t="s">
        <v>29</v>
      </c>
      <c r="G782" t="s">
        <v>13</v>
      </c>
      <c r="H782" t="s">
        <v>14</v>
      </c>
      <c r="I782">
        <v>2</v>
      </c>
      <c r="J782" s="2">
        <v>18.989999999999998</v>
      </c>
      <c r="K782" s="2">
        <v>37.979999999999997</v>
      </c>
      <c r="L782">
        <v>3</v>
      </c>
      <c r="M782" t="str">
        <f>IF(Table1[[#This Row],[Customer Rating]]&gt;=3,"Good","Average")</f>
        <v>Good</v>
      </c>
    </row>
    <row r="783" spans="1:13" x14ac:dyDescent="0.25">
      <c r="A783" t="s">
        <v>833</v>
      </c>
      <c r="B783" s="4">
        <v>45593</v>
      </c>
      <c r="C783" s="4" t="str">
        <f>TEXT(Table1[[#This Row],[Order Date]],"mmm")</f>
        <v>Oct</v>
      </c>
      <c r="D783" s="4" t="str">
        <f>TEXT(Table1[[#This Row],[Order Date]],"yyyy")</f>
        <v>2024</v>
      </c>
      <c r="E783" t="s">
        <v>34</v>
      </c>
      <c r="F783" t="s">
        <v>29</v>
      </c>
      <c r="G783" t="s">
        <v>83</v>
      </c>
      <c r="H783" t="s">
        <v>14</v>
      </c>
      <c r="I783">
        <v>1</v>
      </c>
      <c r="J783" s="2">
        <v>17.989999999999998</v>
      </c>
      <c r="K783" s="2">
        <v>17.989999999999998</v>
      </c>
      <c r="L783">
        <v>3</v>
      </c>
      <c r="M783" t="str">
        <f>IF(Table1[[#This Row],[Customer Rating]]&gt;=3,"Good","Average")</f>
        <v>Good</v>
      </c>
    </row>
    <row r="784" spans="1:13" x14ac:dyDescent="0.25">
      <c r="A784" t="s">
        <v>834</v>
      </c>
      <c r="B784" s="4">
        <v>45392</v>
      </c>
      <c r="C784" s="4" t="str">
        <f>TEXT(Table1[[#This Row],[Order Date]],"mmm")</f>
        <v>Apr</v>
      </c>
      <c r="D784" s="4" t="str">
        <f>TEXT(Table1[[#This Row],[Order Date]],"yyyy")</f>
        <v>2024</v>
      </c>
      <c r="E784" t="s">
        <v>28</v>
      </c>
      <c r="F784" t="s">
        <v>29</v>
      </c>
      <c r="G784" t="s">
        <v>142</v>
      </c>
      <c r="H784" t="s">
        <v>23</v>
      </c>
      <c r="I784">
        <v>2</v>
      </c>
      <c r="J784" s="2">
        <v>14.99</v>
      </c>
      <c r="K784" s="2">
        <v>29.98</v>
      </c>
      <c r="L784">
        <v>4</v>
      </c>
      <c r="M784" t="str">
        <f>IF(Table1[[#This Row],[Customer Rating]]&gt;=3,"Good","Average")</f>
        <v>Good</v>
      </c>
    </row>
    <row r="785" spans="1:13" x14ac:dyDescent="0.25">
      <c r="A785" t="s">
        <v>835</v>
      </c>
      <c r="B785" s="4">
        <v>46012</v>
      </c>
      <c r="C785" s="4" t="str">
        <f>TEXT(Table1[[#This Row],[Order Date]],"mmm")</f>
        <v>Dec</v>
      </c>
      <c r="D785" s="4" t="str">
        <f>TEXT(Table1[[#This Row],[Order Date]],"yyyy")</f>
        <v>2025</v>
      </c>
      <c r="E785" t="s">
        <v>34</v>
      </c>
      <c r="F785" t="s">
        <v>29</v>
      </c>
      <c r="G785" t="s">
        <v>74</v>
      </c>
      <c r="H785" t="s">
        <v>14</v>
      </c>
      <c r="I785">
        <v>1</v>
      </c>
      <c r="J785" s="2">
        <v>14.99</v>
      </c>
      <c r="K785" s="2">
        <v>14.99</v>
      </c>
      <c r="L785">
        <v>5</v>
      </c>
      <c r="M785" t="str">
        <f>IF(Table1[[#This Row],[Customer Rating]]&gt;=3,"Good","Average")</f>
        <v>Good</v>
      </c>
    </row>
    <row r="786" spans="1:13" x14ac:dyDescent="0.25">
      <c r="A786" t="s">
        <v>836</v>
      </c>
      <c r="B786" s="4">
        <v>45439</v>
      </c>
      <c r="C786" s="4" t="str">
        <f>TEXT(Table1[[#This Row],[Order Date]],"mmm")</f>
        <v>May</v>
      </c>
      <c r="D786" s="4" t="str">
        <f>TEXT(Table1[[#This Row],[Order Date]],"yyyy")</f>
        <v>2024</v>
      </c>
      <c r="E786" t="s">
        <v>32</v>
      </c>
      <c r="F786" t="s">
        <v>12</v>
      </c>
      <c r="G786" t="s">
        <v>74</v>
      </c>
      <c r="H786" t="s">
        <v>14</v>
      </c>
      <c r="I786">
        <v>2</v>
      </c>
      <c r="J786" s="2">
        <v>14.99</v>
      </c>
      <c r="K786" s="2">
        <v>29.98</v>
      </c>
      <c r="L786">
        <v>3</v>
      </c>
      <c r="M786" t="str">
        <f>IF(Table1[[#This Row],[Customer Rating]]&gt;=3,"Good","Average")</f>
        <v>Good</v>
      </c>
    </row>
    <row r="787" spans="1:13" x14ac:dyDescent="0.25">
      <c r="A787" t="s">
        <v>837</v>
      </c>
      <c r="B787" s="4">
        <v>45690</v>
      </c>
      <c r="C787" s="4" t="str">
        <f>TEXT(Table1[[#This Row],[Order Date]],"mmm")</f>
        <v>Feb</v>
      </c>
      <c r="D787" s="4" t="str">
        <f>TEXT(Table1[[#This Row],[Order Date]],"yyyy")</f>
        <v>2025</v>
      </c>
      <c r="E787" t="s">
        <v>21</v>
      </c>
      <c r="F787" t="s">
        <v>29</v>
      </c>
      <c r="G787" t="s">
        <v>36</v>
      </c>
      <c r="H787" t="s">
        <v>14</v>
      </c>
      <c r="I787">
        <v>1</v>
      </c>
      <c r="J787" s="2">
        <v>16.989999999999998</v>
      </c>
      <c r="K787" s="2">
        <v>16.989999999999998</v>
      </c>
      <c r="L787">
        <v>3</v>
      </c>
      <c r="M787" t="str">
        <f>IF(Table1[[#This Row],[Customer Rating]]&gt;=3,"Good","Average")</f>
        <v>Good</v>
      </c>
    </row>
    <row r="788" spans="1:13" x14ac:dyDescent="0.25">
      <c r="A788" t="s">
        <v>838</v>
      </c>
      <c r="B788" s="4">
        <v>45295</v>
      </c>
      <c r="C788" s="4" t="str">
        <f>TEXT(Table1[[#This Row],[Order Date]],"mmm")</f>
        <v>Jan</v>
      </c>
      <c r="D788" s="4" t="str">
        <f>TEXT(Table1[[#This Row],[Order Date]],"yyyy")</f>
        <v>2024</v>
      </c>
      <c r="E788" t="s">
        <v>21</v>
      </c>
      <c r="F788" t="s">
        <v>12</v>
      </c>
      <c r="G788" t="s">
        <v>69</v>
      </c>
      <c r="H788" t="s">
        <v>67</v>
      </c>
      <c r="I788">
        <v>2</v>
      </c>
      <c r="J788" s="2">
        <v>8.99</v>
      </c>
      <c r="K788" s="2">
        <v>17.98</v>
      </c>
      <c r="L788">
        <v>3</v>
      </c>
      <c r="M788" t="str">
        <f>IF(Table1[[#This Row],[Customer Rating]]&gt;=3,"Good","Average")</f>
        <v>Good</v>
      </c>
    </row>
    <row r="789" spans="1:13" x14ac:dyDescent="0.25">
      <c r="A789" t="s">
        <v>839</v>
      </c>
      <c r="B789" s="4">
        <v>45450</v>
      </c>
      <c r="C789" s="4" t="str">
        <f>TEXT(Table1[[#This Row],[Order Date]],"mmm")</f>
        <v>Jun</v>
      </c>
      <c r="D789" s="4" t="str">
        <f>TEXT(Table1[[#This Row],[Order Date]],"yyyy")</f>
        <v>2024</v>
      </c>
      <c r="E789" t="s">
        <v>38</v>
      </c>
      <c r="F789" t="s">
        <v>29</v>
      </c>
      <c r="G789" t="s">
        <v>30</v>
      </c>
      <c r="H789" t="s">
        <v>19</v>
      </c>
      <c r="I789">
        <v>1</v>
      </c>
      <c r="J789" s="2">
        <v>7.99</v>
      </c>
      <c r="K789" s="2">
        <v>7.99</v>
      </c>
      <c r="L789">
        <v>3</v>
      </c>
      <c r="M789" t="str">
        <f>IF(Table1[[#This Row],[Customer Rating]]&gt;=3,"Good","Average")</f>
        <v>Good</v>
      </c>
    </row>
    <row r="790" spans="1:13" x14ac:dyDescent="0.25">
      <c r="A790" t="s">
        <v>840</v>
      </c>
      <c r="B790" s="4">
        <v>45419</v>
      </c>
      <c r="C790" s="4" t="str">
        <f>TEXT(Table1[[#This Row],[Order Date]],"mmm")</f>
        <v>May</v>
      </c>
      <c r="D790" s="4" t="str">
        <f>TEXT(Table1[[#This Row],[Order Date]],"yyyy")</f>
        <v>2024</v>
      </c>
      <c r="E790" t="s">
        <v>11</v>
      </c>
      <c r="F790" t="s">
        <v>17</v>
      </c>
      <c r="G790" t="s">
        <v>74</v>
      </c>
      <c r="H790" t="s">
        <v>14</v>
      </c>
      <c r="I790">
        <v>1</v>
      </c>
      <c r="J790" s="2">
        <v>14.99</v>
      </c>
      <c r="K790" s="2">
        <v>14.99</v>
      </c>
      <c r="L790">
        <v>4</v>
      </c>
      <c r="M790" t="str">
        <f>IF(Table1[[#This Row],[Customer Rating]]&gt;=3,"Good","Average")</f>
        <v>Good</v>
      </c>
    </row>
    <row r="791" spans="1:13" x14ac:dyDescent="0.25">
      <c r="A791" t="s">
        <v>841</v>
      </c>
      <c r="B791" s="4">
        <v>45689</v>
      </c>
      <c r="C791" s="4" t="str">
        <f>TEXT(Table1[[#This Row],[Order Date]],"mmm")</f>
        <v>Feb</v>
      </c>
      <c r="D791" s="4" t="str">
        <f>TEXT(Table1[[#This Row],[Order Date]],"yyyy")</f>
        <v>2025</v>
      </c>
      <c r="E791" t="s">
        <v>32</v>
      </c>
      <c r="F791" t="s">
        <v>12</v>
      </c>
      <c r="G791" t="s">
        <v>69</v>
      </c>
      <c r="H791" t="s">
        <v>67</v>
      </c>
      <c r="I791">
        <v>1</v>
      </c>
      <c r="J791" s="2">
        <v>8.99</v>
      </c>
      <c r="K791" s="2">
        <v>8.99</v>
      </c>
      <c r="L791">
        <v>1</v>
      </c>
      <c r="M791" t="str">
        <f>IF(Table1[[#This Row],[Customer Rating]]&gt;=3,"Good","Average")</f>
        <v>Average</v>
      </c>
    </row>
    <row r="792" spans="1:13" x14ac:dyDescent="0.25">
      <c r="A792" t="s">
        <v>842</v>
      </c>
      <c r="B792" s="4">
        <v>45544</v>
      </c>
      <c r="C792" s="4" t="str">
        <f>TEXT(Table1[[#This Row],[Order Date]],"mmm")</f>
        <v>Sep</v>
      </c>
      <c r="D792" s="4" t="str">
        <f>TEXT(Table1[[#This Row],[Order Date]],"yyyy")</f>
        <v>2024</v>
      </c>
      <c r="E792" t="s">
        <v>11</v>
      </c>
      <c r="F792" t="s">
        <v>29</v>
      </c>
      <c r="G792" t="s">
        <v>83</v>
      </c>
      <c r="H792" t="s">
        <v>14</v>
      </c>
      <c r="I792">
        <v>3</v>
      </c>
      <c r="J792" s="2">
        <v>17.989999999999998</v>
      </c>
      <c r="K792" s="2">
        <v>53.97</v>
      </c>
      <c r="L792">
        <v>3</v>
      </c>
      <c r="M792" t="str">
        <f>IF(Table1[[#This Row],[Customer Rating]]&gt;=3,"Good","Average")</f>
        <v>Good</v>
      </c>
    </row>
    <row r="793" spans="1:13" x14ac:dyDescent="0.25">
      <c r="A793" t="s">
        <v>843</v>
      </c>
      <c r="B793" s="4">
        <v>45472</v>
      </c>
      <c r="C793" s="4" t="str">
        <f>TEXT(Table1[[#This Row],[Order Date]],"mmm")</f>
        <v>Jun</v>
      </c>
      <c r="D793" s="4" t="str">
        <f>TEXT(Table1[[#This Row],[Order Date]],"yyyy")</f>
        <v>2024</v>
      </c>
      <c r="E793" t="s">
        <v>25</v>
      </c>
      <c r="F793" t="s">
        <v>17</v>
      </c>
      <c r="G793" t="s">
        <v>69</v>
      </c>
      <c r="H793" t="s">
        <v>67</v>
      </c>
      <c r="I793">
        <v>1</v>
      </c>
      <c r="J793" s="2">
        <v>8.99</v>
      </c>
      <c r="K793" s="2">
        <v>8.99</v>
      </c>
      <c r="L793">
        <v>5</v>
      </c>
      <c r="M793" t="str">
        <f>IF(Table1[[#This Row],[Customer Rating]]&gt;=3,"Good","Average")</f>
        <v>Good</v>
      </c>
    </row>
    <row r="794" spans="1:13" x14ac:dyDescent="0.25">
      <c r="A794" t="s">
        <v>844</v>
      </c>
      <c r="B794" s="4">
        <v>45830</v>
      </c>
      <c r="C794" s="4" t="str">
        <f>TEXT(Table1[[#This Row],[Order Date]],"mmm")</f>
        <v>Jun</v>
      </c>
      <c r="D794" s="4" t="str">
        <f>TEXT(Table1[[#This Row],[Order Date]],"yyyy")</f>
        <v>2025</v>
      </c>
      <c r="E794" t="s">
        <v>45</v>
      </c>
      <c r="F794" t="s">
        <v>29</v>
      </c>
      <c r="G794" t="s">
        <v>43</v>
      </c>
      <c r="H794" t="s">
        <v>23</v>
      </c>
      <c r="I794">
        <v>1</v>
      </c>
      <c r="J794" s="2">
        <v>11.99</v>
      </c>
      <c r="K794" s="2">
        <v>11.99</v>
      </c>
      <c r="L794">
        <v>5</v>
      </c>
      <c r="M794" t="str">
        <f>IF(Table1[[#This Row],[Customer Rating]]&gt;=3,"Good","Average")</f>
        <v>Good</v>
      </c>
    </row>
    <row r="795" spans="1:13" x14ac:dyDescent="0.25">
      <c r="A795" t="s">
        <v>845</v>
      </c>
      <c r="B795" s="4">
        <v>45831</v>
      </c>
      <c r="C795" s="4" t="str">
        <f>TEXT(Table1[[#This Row],[Order Date]],"mmm")</f>
        <v>Jun</v>
      </c>
      <c r="D795" s="4" t="str">
        <f>TEXT(Table1[[#This Row],[Order Date]],"yyyy")</f>
        <v>2025</v>
      </c>
      <c r="E795" t="s">
        <v>11</v>
      </c>
      <c r="F795" t="s">
        <v>29</v>
      </c>
      <c r="G795" t="s">
        <v>74</v>
      </c>
      <c r="H795" t="s">
        <v>14</v>
      </c>
      <c r="I795">
        <v>3</v>
      </c>
      <c r="J795" s="2">
        <v>14.99</v>
      </c>
      <c r="K795" s="2">
        <v>44.97</v>
      </c>
      <c r="L795">
        <v>5</v>
      </c>
      <c r="M795" t="str">
        <f>IF(Table1[[#This Row],[Customer Rating]]&gt;=3,"Good","Average")</f>
        <v>Good</v>
      </c>
    </row>
    <row r="796" spans="1:13" x14ac:dyDescent="0.25">
      <c r="A796" t="s">
        <v>846</v>
      </c>
      <c r="B796" s="4">
        <v>45536</v>
      </c>
      <c r="C796" s="4" t="str">
        <f>TEXT(Table1[[#This Row],[Order Date]],"mmm")</f>
        <v>Sep</v>
      </c>
      <c r="D796" s="4" t="str">
        <f>TEXT(Table1[[#This Row],[Order Date]],"yyyy")</f>
        <v>2024</v>
      </c>
      <c r="E796" t="s">
        <v>25</v>
      </c>
      <c r="F796" t="s">
        <v>17</v>
      </c>
      <c r="G796" t="s">
        <v>36</v>
      </c>
      <c r="H796" t="s">
        <v>14</v>
      </c>
      <c r="I796">
        <v>1</v>
      </c>
      <c r="J796" s="2">
        <v>16.989999999999998</v>
      </c>
      <c r="K796" s="2">
        <v>16.989999999999998</v>
      </c>
      <c r="L796">
        <v>5</v>
      </c>
      <c r="M796" t="str">
        <f>IF(Table1[[#This Row],[Customer Rating]]&gt;=3,"Good","Average")</f>
        <v>Good</v>
      </c>
    </row>
    <row r="797" spans="1:13" x14ac:dyDescent="0.25">
      <c r="A797" t="s">
        <v>847</v>
      </c>
      <c r="B797" s="4">
        <v>45688</v>
      </c>
      <c r="C797" s="4" t="str">
        <f>TEXT(Table1[[#This Row],[Order Date]],"mmm")</f>
        <v>Jan</v>
      </c>
      <c r="D797" s="4" t="str">
        <f>TEXT(Table1[[#This Row],[Order Date]],"yyyy")</f>
        <v>2025</v>
      </c>
      <c r="E797" t="s">
        <v>32</v>
      </c>
      <c r="F797" t="s">
        <v>29</v>
      </c>
      <c r="G797" t="s">
        <v>83</v>
      </c>
      <c r="H797" t="s">
        <v>14</v>
      </c>
      <c r="I797">
        <v>1</v>
      </c>
      <c r="J797" s="2">
        <v>17.989999999999998</v>
      </c>
      <c r="K797" s="2">
        <v>17.989999999999998</v>
      </c>
      <c r="L797">
        <v>4</v>
      </c>
      <c r="M797" t="str">
        <f>IF(Table1[[#This Row],[Customer Rating]]&gt;=3,"Good","Average")</f>
        <v>Good</v>
      </c>
    </row>
    <row r="798" spans="1:13" x14ac:dyDescent="0.25">
      <c r="A798" t="s">
        <v>848</v>
      </c>
      <c r="B798" s="4">
        <v>45915</v>
      </c>
      <c r="C798" s="4" t="str">
        <f>TEXT(Table1[[#This Row],[Order Date]],"mmm")</f>
        <v>Sep</v>
      </c>
      <c r="D798" s="4" t="str">
        <f>TEXT(Table1[[#This Row],[Order Date]],"yyyy")</f>
        <v>2025</v>
      </c>
      <c r="E798" t="s">
        <v>28</v>
      </c>
      <c r="F798" t="s">
        <v>17</v>
      </c>
      <c r="G798" t="s">
        <v>55</v>
      </c>
      <c r="H798" t="s">
        <v>23</v>
      </c>
      <c r="I798">
        <v>4</v>
      </c>
      <c r="J798" s="2">
        <v>10.99</v>
      </c>
      <c r="K798" s="2">
        <v>43.96</v>
      </c>
      <c r="L798">
        <v>3</v>
      </c>
      <c r="M798" t="str">
        <f>IF(Table1[[#This Row],[Customer Rating]]&gt;=3,"Good","Average")</f>
        <v>Good</v>
      </c>
    </row>
    <row r="799" spans="1:13" x14ac:dyDescent="0.25">
      <c r="A799" t="s">
        <v>849</v>
      </c>
      <c r="B799" s="4">
        <v>45925</v>
      </c>
      <c r="C799" s="4" t="str">
        <f>TEXT(Table1[[#This Row],[Order Date]],"mmm")</f>
        <v>Sep</v>
      </c>
      <c r="D799" s="4" t="str">
        <f>TEXT(Table1[[#This Row],[Order Date]],"yyyy")</f>
        <v>2025</v>
      </c>
      <c r="E799" t="s">
        <v>11</v>
      </c>
      <c r="F799" t="s">
        <v>29</v>
      </c>
      <c r="G799" t="s">
        <v>43</v>
      </c>
      <c r="H799" t="s">
        <v>23</v>
      </c>
      <c r="I799">
        <v>3</v>
      </c>
      <c r="J799" s="2">
        <v>11.99</v>
      </c>
      <c r="K799" s="2">
        <v>35.97</v>
      </c>
      <c r="L799">
        <v>4</v>
      </c>
      <c r="M799" t="str">
        <f>IF(Table1[[#This Row],[Customer Rating]]&gt;=3,"Good","Average")</f>
        <v>Good</v>
      </c>
    </row>
    <row r="800" spans="1:13" x14ac:dyDescent="0.25">
      <c r="A800" t="s">
        <v>850</v>
      </c>
      <c r="B800" s="4">
        <v>45510</v>
      </c>
      <c r="C800" s="4" t="str">
        <f>TEXT(Table1[[#This Row],[Order Date]],"mmm")</f>
        <v>Aug</v>
      </c>
      <c r="D800" s="4" t="str">
        <f>TEXT(Table1[[#This Row],[Order Date]],"yyyy")</f>
        <v>2024</v>
      </c>
      <c r="E800" t="s">
        <v>38</v>
      </c>
      <c r="F800" t="s">
        <v>12</v>
      </c>
      <c r="G800" t="s">
        <v>13</v>
      </c>
      <c r="H800" t="s">
        <v>14</v>
      </c>
      <c r="I800">
        <v>1</v>
      </c>
      <c r="J800" s="2">
        <v>18.989999999999998</v>
      </c>
      <c r="K800" s="2">
        <v>18.989999999999998</v>
      </c>
      <c r="L800">
        <v>5</v>
      </c>
      <c r="M800" t="str">
        <f>IF(Table1[[#This Row],[Customer Rating]]&gt;=3,"Good","Average")</f>
        <v>Good</v>
      </c>
    </row>
    <row r="801" spans="1:13" x14ac:dyDescent="0.25">
      <c r="A801" t="s">
        <v>851</v>
      </c>
      <c r="B801" s="4">
        <v>45634</v>
      </c>
      <c r="C801" s="4" t="str">
        <f>TEXT(Table1[[#This Row],[Order Date]],"mmm")</f>
        <v>Dec</v>
      </c>
      <c r="D801" s="4" t="str">
        <f>TEXT(Table1[[#This Row],[Order Date]],"yyyy")</f>
        <v>2024</v>
      </c>
      <c r="E801" t="s">
        <v>34</v>
      </c>
      <c r="F801" t="s">
        <v>29</v>
      </c>
      <c r="G801" t="s">
        <v>142</v>
      </c>
      <c r="H801" t="s">
        <v>23</v>
      </c>
      <c r="I801">
        <v>3</v>
      </c>
      <c r="J801" s="2">
        <v>14.99</v>
      </c>
      <c r="K801" s="2">
        <v>44.97</v>
      </c>
      <c r="L801">
        <v>3</v>
      </c>
      <c r="M801" t="str">
        <f>IF(Table1[[#This Row],[Customer Rating]]&gt;=3,"Good","Average")</f>
        <v>Good</v>
      </c>
    </row>
    <row r="802" spans="1:13" x14ac:dyDescent="0.25">
      <c r="A802" t="s">
        <v>852</v>
      </c>
      <c r="B802" s="4">
        <v>45366</v>
      </c>
      <c r="C802" s="4" t="str">
        <f>TEXT(Table1[[#This Row],[Order Date]],"mmm")</f>
        <v>Mar</v>
      </c>
      <c r="D802" s="4" t="str">
        <f>TEXT(Table1[[#This Row],[Order Date]],"yyyy")</f>
        <v>2024</v>
      </c>
      <c r="E802" t="s">
        <v>38</v>
      </c>
      <c r="F802" t="s">
        <v>17</v>
      </c>
      <c r="G802" t="s">
        <v>79</v>
      </c>
      <c r="H802" t="s">
        <v>67</v>
      </c>
      <c r="I802">
        <v>2</v>
      </c>
      <c r="J802" s="2">
        <v>10.99</v>
      </c>
      <c r="K802" s="2">
        <v>21.98</v>
      </c>
      <c r="L802">
        <v>4</v>
      </c>
      <c r="M802" t="str">
        <f>IF(Table1[[#This Row],[Customer Rating]]&gt;=3,"Good","Average")</f>
        <v>Good</v>
      </c>
    </row>
    <row r="803" spans="1:13" x14ac:dyDescent="0.25">
      <c r="A803" t="s">
        <v>853</v>
      </c>
      <c r="B803" s="4">
        <v>45941</v>
      </c>
      <c r="C803" s="4" t="str">
        <f>TEXT(Table1[[#This Row],[Order Date]],"mmm")</f>
        <v>Oct</v>
      </c>
      <c r="D803" s="4" t="str">
        <f>TEXT(Table1[[#This Row],[Order Date]],"yyyy")</f>
        <v>2025</v>
      </c>
      <c r="E803" t="s">
        <v>16</v>
      </c>
      <c r="F803" t="s">
        <v>29</v>
      </c>
      <c r="G803" t="s">
        <v>30</v>
      </c>
      <c r="H803" t="s">
        <v>19</v>
      </c>
      <c r="I803">
        <v>1</v>
      </c>
      <c r="J803" s="2">
        <v>7.99</v>
      </c>
      <c r="K803" s="2">
        <v>7.99</v>
      </c>
      <c r="L803">
        <v>3</v>
      </c>
      <c r="M803" t="str">
        <f>IF(Table1[[#This Row],[Customer Rating]]&gt;=3,"Good","Average")</f>
        <v>Good</v>
      </c>
    </row>
    <row r="804" spans="1:13" x14ac:dyDescent="0.25">
      <c r="A804" t="s">
        <v>854</v>
      </c>
      <c r="B804" s="4">
        <v>45396</v>
      </c>
      <c r="C804" s="4" t="str">
        <f>TEXT(Table1[[#This Row],[Order Date]],"mmm")</f>
        <v>Apr</v>
      </c>
      <c r="D804" s="4" t="str">
        <f>TEXT(Table1[[#This Row],[Order Date]],"yyyy")</f>
        <v>2024</v>
      </c>
      <c r="E804" t="s">
        <v>16</v>
      </c>
      <c r="F804" t="s">
        <v>12</v>
      </c>
      <c r="G804" t="s">
        <v>30</v>
      </c>
      <c r="H804" t="s">
        <v>19</v>
      </c>
      <c r="I804">
        <v>3</v>
      </c>
      <c r="J804" s="2">
        <v>7.99</v>
      </c>
      <c r="K804" s="2">
        <v>23.97</v>
      </c>
      <c r="L804">
        <v>4</v>
      </c>
      <c r="M804" t="str">
        <f>IF(Table1[[#This Row],[Customer Rating]]&gt;=3,"Good","Average")</f>
        <v>Good</v>
      </c>
    </row>
    <row r="805" spans="1:13" x14ac:dyDescent="0.25">
      <c r="A805" t="s">
        <v>855</v>
      </c>
      <c r="B805" s="4">
        <v>45479</v>
      </c>
      <c r="C805" s="4" t="str">
        <f>TEXT(Table1[[#This Row],[Order Date]],"mmm")</f>
        <v>Jul</v>
      </c>
      <c r="D805" s="4" t="str">
        <f>TEXT(Table1[[#This Row],[Order Date]],"yyyy")</f>
        <v>2024</v>
      </c>
      <c r="E805" t="s">
        <v>45</v>
      </c>
      <c r="F805" t="s">
        <v>29</v>
      </c>
      <c r="G805" t="s">
        <v>79</v>
      </c>
      <c r="H805" t="s">
        <v>67</v>
      </c>
      <c r="I805">
        <v>1</v>
      </c>
      <c r="J805" s="2">
        <v>10.99</v>
      </c>
      <c r="K805" s="2">
        <v>10.99</v>
      </c>
      <c r="L805">
        <v>3</v>
      </c>
      <c r="M805" t="str">
        <f>IF(Table1[[#This Row],[Customer Rating]]&gt;=3,"Good","Average")</f>
        <v>Good</v>
      </c>
    </row>
    <row r="806" spans="1:13" x14ac:dyDescent="0.25">
      <c r="A806" t="s">
        <v>856</v>
      </c>
      <c r="B806" s="4">
        <v>45625</v>
      </c>
      <c r="C806" s="4" t="str">
        <f>TEXT(Table1[[#This Row],[Order Date]],"mmm")</f>
        <v>Nov</v>
      </c>
      <c r="D806" s="4" t="str">
        <f>TEXT(Table1[[#This Row],[Order Date]],"yyyy")</f>
        <v>2024</v>
      </c>
      <c r="E806" t="s">
        <v>11</v>
      </c>
      <c r="F806" t="s">
        <v>29</v>
      </c>
      <c r="G806" t="s">
        <v>66</v>
      </c>
      <c r="H806" t="s">
        <v>67</v>
      </c>
      <c r="I806">
        <v>1</v>
      </c>
      <c r="J806" s="2">
        <v>7.99</v>
      </c>
      <c r="K806" s="2">
        <v>7.99</v>
      </c>
      <c r="L806">
        <v>3</v>
      </c>
      <c r="M806" t="str">
        <f>IF(Table1[[#This Row],[Customer Rating]]&gt;=3,"Good","Average")</f>
        <v>Good</v>
      </c>
    </row>
    <row r="807" spans="1:13" x14ac:dyDescent="0.25">
      <c r="A807" t="s">
        <v>857</v>
      </c>
      <c r="B807" s="4">
        <v>45556</v>
      </c>
      <c r="C807" s="4" t="str">
        <f>TEXT(Table1[[#This Row],[Order Date]],"mmm")</f>
        <v>Sep</v>
      </c>
      <c r="D807" s="4" t="str">
        <f>TEXT(Table1[[#This Row],[Order Date]],"yyyy")</f>
        <v>2024</v>
      </c>
      <c r="E807" t="s">
        <v>11</v>
      </c>
      <c r="F807" t="s">
        <v>12</v>
      </c>
      <c r="G807" t="s">
        <v>18</v>
      </c>
      <c r="H807" t="s">
        <v>19</v>
      </c>
      <c r="I807">
        <v>2</v>
      </c>
      <c r="J807" s="2">
        <v>9.99</v>
      </c>
      <c r="K807" s="2">
        <v>19.98</v>
      </c>
      <c r="L807">
        <v>2</v>
      </c>
      <c r="M807" t="str">
        <f>IF(Table1[[#This Row],[Customer Rating]]&gt;=3,"Good","Average")</f>
        <v>Average</v>
      </c>
    </row>
    <row r="808" spans="1:13" x14ac:dyDescent="0.25">
      <c r="A808" t="s">
        <v>858</v>
      </c>
      <c r="B808" s="4">
        <v>45815</v>
      </c>
      <c r="C808" s="4" t="str">
        <f>TEXT(Table1[[#This Row],[Order Date]],"mmm")</f>
        <v>Jun</v>
      </c>
      <c r="D808" s="4" t="str">
        <f>TEXT(Table1[[#This Row],[Order Date]],"yyyy")</f>
        <v>2025</v>
      </c>
      <c r="E808" t="s">
        <v>21</v>
      </c>
      <c r="F808" t="s">
        <v>29</v>
      </c>
      <c r="G808" t="s">
        <v>69</v>
      </c>
      <c r="H808" t="s">
        <v>67</v>
      </c>
      <c r="I808">
        <v>4</v>
      </c>
      <c r="J808" s="2">
        <v>8.99</v>
      </c>
      <c r="K808" s="2">
        <v>35.96</v>
      </c>
      <c r="L808">
        <v>4</v>
      </c>
      <c r="M808" t="str">
        <f>IF(Table1[[#This Row],[Customer Rating]]&gt;=3,"Good","Average")</f>
        <v>Good</v>
      </c>
    </row>
    <row r="809" spans="1:13" x14ac:dyDescent="0.25">
      <c r="A809" t="s">
        <v>859</v>
      </c>
      <c r="B809" s="4">
        <v>45470</v>
      </c>
      <c r="C809" s="4" t="str">
        <f>TEXT(Table1[[#This Row],[Order Date]],"mmm")</f>
        <v>Jun</v>
      </c>
      <c r="D809" s="4" t="str">
        <f>TEXT(Table1[[#This Row],[Order Date]],"yyyy")</f>
        <v>2024</v>
      </c>
      <c r="E809" t="s">
        <v>16</v>
      </c>
      <c r="F809" t="s">
        <v>17</v>
      </c>
      <c r="G809" t="s">
        <v>74</v>
      </c>
      <c r="H809" t="s">
        <v>14</v>
      </c>
      <c r="I809">
        <v>2</v>
      </c>
      <c r="J809" s="2">
        <v>14.99</v>
      </c>
      <c r="K809" s="2">
        <v>29.98</v>
      </c>
      <c r="L809">
        <v>4</v>
      </c>
      <c r="M809" t="str">
        <f>IF(Table1[[#This Row],[Customer Rating]]&gt;=3,"Good","Average")</f>
        <v>Good</v>
      </c>
    </row>
    <row r="810" spans="1:13" x14ac:dyDescent="0.25">
      <c r="A810" t="s">
        <v>860</v>
      </c>
      <c r="B810" s="4">
        <v>45539</v>
      </c>
      <c r="C810" s="4" t="str">
        <f>TEXT(Table1[[#This Row],[Order Date]],"mmm")</f>
        <v>Sep</v>
      </c>
      <c r="D810" s="4" t="str">
        <f>TEXT(Table1[[#This Row],[Order Date]],"yyyy")</f>
        <v>2024</v>
      </c>
      <c r="E810" t="s">
        <v>11</v>
      </c>
      <c r="F810" t="s">
        <v>29</v>
      </c>
      <c r="G810" t="s">
        <v>46</v>
      </c>
      <c r="H810" t="s">
        <v>14</v>
      </c>
      <c r="I810">
        <v>1</v>
      </c>
      <c r="J810" s="2">
        <v>32.99</v>
      </c>
      <c r="K810" s="2">
        <v>32.99</v>
      </c>
      <c r="L810">
        <v>5</v>
      </c>
      <c r="M810" t="str">
        <f>IF(Table1[[#This Row],[Customer Rating]]&gt;=3,"Good","Average")</f>
        <v>Good</v>
      </c>
    </row>
    <row r="811" spans="1:13" x14ac:dyDescent="0.25">
      <c r="A811" t="s">
        <v>861</v>
      </c>
      <c r="B811" s="4">
        <v>46017</v>
      </c>
      <c r="C811" s="4" t="str">
        <f>TEXT(Table1[[#This Row],[Order Date]],"mmm")</f>
        <v>Dec</v>
      </c>
      <c r="D811" s="4" t="str">
        <f>TEXT(Table1[[#This Row],[Order Date]],"yyyy")</f>
        <v>2025</v>
      </c>
      <c r="E811" t="s">
        <v>38</v>
      </c>
      <c r="F811" t="s">
        <v>12</v>
      </c>
      <c r="G811" t="s">
        <v>62</v>
      </c>
      <c r="H811" t="s">
        <v>23</v>
      </c>
      <c r="I811">
        <v>2</v>
      </c>
      <c r="J811" s="2">
        <v>9.99</v>
      </c>
      <c r="K811" s="2">
        <v>19.98</v>
      </c>
      <c r="L811">
        <v>5</v>
      </c>
      <c r="M811" t="str">
        <f>IF(Table1[[#This Row],[Customer Rating]]&gt;=3,"Good","Average")</f>
        <v>Good</v>
      </c>
    </row>
    <row r="812" spans="1:13" x14ac:dyDescent="0.25">
      <c r="A812" t="s">
        <v>862</v>
      </c>
      <c r="B812" s="4">
        <v>45874</v>
      </c>
      <c r="C812" s="4" t="str">
        <f>TEXT(Table1[[#This Row],[Order Date]],"mmm")</f>
        <v>Aug</v>
      </c>
      <c r="D812" s="4" t="str">
        <f>TEXT(Table1[[#This Row],[Order Date]],"yyyy")</f>
        <v>2025</v>
      </c>
      <c r="E812" t="s">
        <v>16</v>
      </c>
      <c r="F812" t="s">
        <v>17</v>
      </c>
      <c r="G812" t="s">
        <v>36</v>
      </c>
      <c r="H812" t="s">
        <v>14</v>
      </c>
      <c r="I812">
        <v>3</v>
      </c>
      <c r="J812" s="2">
        <v>16.989999999999998</v>
      </c>
      <c r="K812" s="2">
        <v>50.97</v>
      </c>
      <c r="L812">
        <v>5</v>
      </c>
      <c r="M812" t="str">
        <f>IF(Table1[[#This Row],[Customer Rating]]&gt;=3,"Good","Average")</f>
        <v>Good</v>
      </c>
    </row>
    <row r="813" spans="1:13" x14ac:dyDescent="0.25">
      <c r="A813" t="s">
        <v>863</v>
      </c>
      <c r="B813" s="4">
        <v>45606</v>
      </c>
      <c r="C813" s="4" t="str">
        <f>TEXT(Table1[[#This Row],[Order Date]],"mmm")</f>
        <v>Nov</v>
      </c>
      <c r="D813" s="4" t="str">
        <f>TEXT(Table1[[#This Row],[Order Date]],"yyyy")</f>
        <v>2024</v>
      </c>
      <c r="E813" t="s">
        <v>97</v>
      </c>
      <c r="F813" t="s">
        <v>12</v>
      </c>
      <c r="G813" t="s">
        <v>41</v>
      </c>
      <c r="H813" t="s">
        <v>23</v>
      </c>
      <c r="I813">
        <v>3</v>
      </c>
      <c r="J813" s="2">
        <v>12.99</v>
      </c>
      <c r="K813" s="2">
        <v>38.97</v>
      </c>
      <c r="L813">
        <v>5</v>
      </c>
      <c r="M813" t="str">
        <f>IF(Table1[[#This Row],[Customer Rating]]&gt;=3,"Good","Average")</f>
        <v>Good</v>
      </c>
    </row>
    <row r="814" spans="1:13" x14ac:dyDescent="0.25">
      <c r="A814" t="s">
        <v>864</v>
      </c>
      <c r="B814" s="4">
        <v>45949</v>
      </c>
      <c r="C814" s="4" t="str">
        <f>TEXT(Table1[[#This Row],[Order Date]],"mmm")</f>
        <v>Oct</v>
      </c>
      <c r="D814" s="4" t="str">
        <f>TEXT(Table1[[#This Row],[Order Date]],"yyyy")</f>
        <v>2025</v>
      </c>
      <c r="E814" t="s">
        <v>38</v>
      </c>
      <c r="F814" t="s">
        <v>12</v>
      </c>
      <c r="G814" t="s">
        <v>26</v>
      </c>
      <c r="H814" t="s">
        <v>19</v>
      </c>
      <c r="I814">
        <v>1</v>
      </c>
      <c r="J814" s="2">
        <v>3.49</v>
      </c>
      <c r="K814" s="2">
        <v>3.49</v>
      </c>
      <c r="L814">
        <v>3</v>
      </c>
      <c r="M814" t="str">
        <f>IF(Table1[[#This Row],[Customer Rating]]&gt;=3,"Good","Average")</f>
        <v>Good</v>
      </c>
    </row>
    <row r="815" spans="1:13" x14ac:dyDescent="0.25">
      <c r="A815" t="s">
        <v>865</v>
      </c>
      <c r="B815" s="4">
        <v>45471</v>
      </c>
      <c r="C815" s="4" t="str">
        <f>TEXT(Table1[[#This Row],[Order Date]],"mmm")</f>
        <v>Jun</v>
      </c>
      <c r="D815" s="4" t="str">
        <f>TEXT(Table1[[#This Row],[Order Date]],"yyyy")</f>
        <v>2024</v>
      </c>
      <c r="E815" t="s">
        <v>21</v>
      </c>
      <c r="F815" t="s">
        <v>12</v>
      </c>
      <c r="G815" t="s">
        <v>36</v>
      </c>
      <c r="H815" t="s">
        <v>14</v>
      </c>
      <c r="I815">
        <v>2</v>
      </c>
      <c r="J815" s="2">
        <v>16.989999999999998</v>
      </c>
      <c r="K815" s="2">
        <v>33.979999999999997</v>
      </c>
      <c r="L815">
        <v>4</v>
      </c>
      <c r="M815" t="str">
        <f>IF(Table1[[#This Row],[Customer Rating]]&gt;=3,"Good","Average")</f>
        <v>Good</v>
      </c>
    </row>
    <row r="816" spans="1:13" x14ac:dyDescent="0.25">
      <c r="A816" t="s">
        <v>866</v>
      </c>
      <c r="B816" s="4">
        <v>45965</v>
      </c>
      <c r="C816" s="4" t="str">
        <f>TEXT(Table1[[#This Row],[Order Date]],"mmm")</f>
        <v>Nov</v>
      </c>
      <c r="D816" s="4" t="str">
        <f>TEXT(Table1[[#This Row],[Order Date]],"yyyy")</f>
        <v>2025</v>
      </c>
      <c r="E816" t="s">
        <v>16</v>
      </c>
      <c r="F816" t="s">
        <v>29</v>
      </c>
      <c r="G816" t="s">
        <v>74</v>
      </c>
      <c r="H816" t="s">
        <v>14</v>
      </c>
      <c r="I816">
        <v>1</v>
      </c>
      <c r="J816" s="2">
        <v>14.99</v>
      </c>
      <c r="K816" s="2">
        <v>14.99</v>
      </c>
      <c r="L816">
        <v>5</v>
      </c>
      <c r="M816" t="str">
        <f>IF(Table1[[#This Row],[Customer Rating]]&gt;=3,"Good","Average")</f>
        <v>Good</v>
      </c>
    </row>
    <row r="817" spans="1:13" x14ac:dyDescent="0.25">
      <c r="A817" t="s">
        <v>867</v>
      </c>
      <c r="B817" s="4">
        <v>45954</v>
      </c>
      <c r="C817" s="4" t="str">
        <f>TEXT(Table1[[#This Row],[Order Date]],"mmm")</f>
        <v>Oct</v>
      </c>
      <c r="D817" s="4" t="str">
        <f>TEXT(Table1[[#This Row],[Order Date]],"yyyy")</f>
        <v>2025</v>
      </c>
      <c r="E817" t="s">
        <v>32</v>
      </c>
      <c r="F817" t="s">
        <v>29</v>
      </c>
      <c r="G817" t="s">
        <v>57</v>
      </c>
      <c r="H817" t="s">
        <v>14</v>
      </c>
      <c r="I817">
        <v>2</v>
      </c>
      <c r="J817" s="2">
        <v>15.99</v>
      </c>
      <c r="K817" s="2">
        <v>31.98</v>
      </c>
      <c r="L817">
        <v>5</v>
      </c>
      <c r="M817" t="str">
        <f>IF(Table1[[#This Row],[Customer Rating]]&gt;=3,"Good","Average")</f>
        <v>Good</v>
      </c>
    </row>
    <row r="818" spans="1:13" x14ac:dyDescent="0.25">
      <c r="A818" t="s">
        <v>868</v>
      </c>
      <c r="B818" s="4">
        <v>45400</v>
      </c>
      <c r="C818" s="4" t="str">
        <f>TEXT(Table1[[#This Row],[Order Date]],"mmm")</f>
        <v>Apr</v>
      </c>
      <c r="D818" s="4" t="str">
        <f>TEXT(Table1[[#This Row],[Order Date]],"yyyy")</f>
        <v>2024</v>
      </c>
      <c r="E818" t="s">
        <v>34</v>
      </c>
      <c r="F818" t="s">
        <v>12</v>
      </c>
      <c r="G818" t="s">
        <v>39</v>
      </c>
      <c r="H818" t="s">
        <v>14</v>
      </c>
      <c r="I818">
        <v>1</v>
      </c>
      <c r="J818" s="2">
        <v>24.99</v>
      </c>
      <c r="K818" s="2">
        <v>24.99</v>
      </c>
      <c r="L818">
        <v>4</v>
      </c>
      <c r="M818" t="str">
        <f>IF(Table1[[#This Row],[Customer Rating]]&gt;=3,"Good","Average")</f>
        <v>Good</v>
      </c>
    </row>
    <row r="819" spans="1:13" x14ac:dyDescent="0.25">
      <c r="A819" t="s">
        <v>869</v>
      </c>
      <c r="B819" s="4">
        <v>45906</v>
      </c>
      <c r="C819" s="4" t="str">
        <f>TEXT(Table1[[#This Row],[Order Date]],"mmm")</f>
        <v>Sep</v>
      </c>
      <c r="D819" s="4" t="str">
        <f>TEXT(Table1[[#This Row],[Order Date]],"yyyy")</f>
        <v>2025</v>
      </c>
      <c r="E819" t="s">
        <v>28</v>
      </c>
      <c r="F819" t="s">
        <v>29</v>
      </c>
      <c r="G819" t="s">
        <v>83</v>
      </c>
      <c r="H819" t="s">
        <v>14</v>
      </c>
      <c r="I819">
        <v>2</v>
      </c>
      <c r="J819" s="2">
        <v>17.989999999999998</v>
      </c>
      <c r="K819" s="2">
        <v>35.979999999999997</v>
      </c>
      <c r="L819">
        <v>4</v>
      </c>
      <c r="M819" t="str">
        <f>IF(Table1[[#This Row],[Customer Rating]]&gt;=3,"Good","Average")</f>
        <v>Good</v>
      </c>
    </row>
    <row r="820" spans="1:13" x14ac:dyDescent="0.25">
      <c r="A820" t="s">
        <v>870</v>
      </c>
      <c r="B820" s="4">
        <v>45744</v>
      </c>
      <c r="C820" s="4" t="str">
        <f>TEXT(Table1[[#This Row],[Order Date]],"mmm")</f>
        <v>Mar</v>
      </c>
      <c r="D820" s="4" t="str">
        <f>TEXT(Table1[[#This Row],[Order Date]],"yyyy")</f>
        <v>2025</v>
      </c>
      <c r="E820" t="s">
        <v>16</v>
      </c>
      <c r="F820" t="s">
        <v>17</v>
      </c>
      <c r="G820" t="s">
        <v>30</v>
      </c>
      <c r="H820" t="s">
        <v>19</v>
      </c>
      <c r="I820">
        <v>2</v>
      </c>
      <c r="J820" s="2">
        <v>7.99</v>
      </c>
      <c r="K820" s="2">
        <v>15.98</v>
      </c>
      <c r="L820">
        <v>4</v>
      </c>
      <c r="M820" t="str">
        <f>IF(Table1[[#This Row],[Customer Rating]]&gt;=3,"Good","Average")</f>
        <v>Good</v>
      </c>
    </row>
    <row r="821" spans="1:13" x14ac:dyDescent="0.25">
      <c r="A821" t="s">
        <v>871</v>
      </c>
      <c r="B821" s="4">
        <v>45591</v>
      </c>
      <c r="C821" s="4" t="str">
        <f>TEXT(Table1[[#This Row],[Order Date]],"mmm")</f>
        <v>Oct</v>
      </c>
      <c r="D821" s="4" t="str">
        <f>TEXT(Table1[[#This Row],[Order Date]],"yyyy")</f>
        <v>2024</v>
      </c>
      <c r="E821" t="s">
        <v>28</v>
      </c>
      <c r="F821" t="s">
        <v>12</v>
      </c>
      <c r="G821" t="s">
        <v>36</v>
      </c>
      <c r="H821" t="s">
        <v>14</v>
      </c>
      <c r="I821">
        <v>3</v>
      </c>
      <c r="J821" s="2">
        <v>16.989999999999998</v>
      </c>
      <c r="K821" s="2">
        <v>50.97</v>
      </c>
      <c r="L821">
        <v>5</v>
      </c>
      <c r="M821" t="str">
        <f>IF(Table1[[#This Row],[Customer Rating]]&gt;=3,"Good","Average")</f>
        <v>Good</v>
      </c>
    </row>
    <row r="822" spans="1:13" x14ac:dyDescent="0.25">
      <c r="A822" t="s">
        <v>872</v>
      </c>
      <c r="B822" s="4">
        <v>45753</v>
      </c>
      <c r="C822" s="4" t="str">
        <f>TEXT(Table1[[#This Row],[Order Date]],"mmm")</f>
        <v>Apr</v>
      </c>
      <c r="D822" s="4" t="str">
        <f>TEXT(Table1[[#This Row],[Order Date]],"yyyy")</f>
        <v>2025</v>
      </c>
      <c r="E822" t="s">
        <v>28</v>
      </c>
      <c r="F822" t="s">
        <v>12</v>
      </c>
      <c r="G822" t="s">
        <v>83</v>
      </c>
      <c r="H822" t="s">
        <v>14</v>
      </c>
      <c r="I822">
        <v>1</v>
      </c>
      <c r="J822" s="2">
        <v>17.989999999999998</v>
      </c>
      <c r="K822" s="2">
        <v>17.989999999999998</v>
      </c>
      <c r="L822">
        <v>3</v>
      </c>
      <c r="M822" t="str">
        <f>IF(Table1[[#This Row],[Customer Rating]]&gt;=3,"Good","Average")</f>
        <v>Good</v>
      </c>
    </row>
    <row r="823" spans="1:13" x14ac:dyDescent="0.25">
      <c r="A823" t="s">
        <v>873</v>
      </c>
      <c r="B823" s="4">
        <v>45643</v>
      </c>
      <c r="C823" s="4" t="str">
        <f>TEXT(Table1[[#This Row],[Order Date]],"mmm")</f>
        <v>Dec</v>
      </c>
      <c r="D823" s="4" t="str">
        <f>TEXT(Table1[[#This Row],[Order Date]],"yyyy")</f>
        <v>2024</v>
      </c>
      <c r="E823" t="s">
        <v>45</v>
      </c>
      <c r="F823" t="s">
        <v>12</v>
      </c>
      <c r="G823" t="s">
        <v>83</v>
      </c>
      <c r="H823" t="s">
        <v>14</v>
      </c>
      <c r="I823">
        <v>1</v>
      </c>
      <c r="J823" s="2">
        <v>17.989999999999998</v>
      </c>
      <c r="K823" s="2">
        <v>17.989999999999998</v>
      </c>
      <c r="L823">
        <v>4</v>
      </c>
      <c r="M823" t="str">
        <f>IF(Table1[[#This Row],[Customer Rating]]&gt;=3,"Good","Average")</f>
        <v>Good</v>
      </c>
    </row>
    <row r="824" spans="1:13" x14ac:dyDescent="0.25">
      <c r="A824" t="s">
        <v>874</v>
      </c>
      <c r="B824" s="4">
        <v>45688</v>
      </c>
      <c r="C824" s="4" t="str">
        <f>TEXT(Table1[[#This Row],[Order Date]],"mmm")</f>
        <v>Jan</v>
      </c>
      <c r="D824" s="4" t="str">
        <f>TEXT(Table1[[#This Row],[Order Date]],"yyyy")</f>
        <v>2025</v>
      </c>
      <c r="E824" t="s">
        <v>28</v>
      </c>
      <c r="F824" t="s">
        <v>29</v>
      </c>
      <c r="G824" t="s">
        <v>39</v>
      </c>
      <c r="H824" t="s">
        <v>14</v>
      </c>
      <c r="I824">
        <v>2</v>
      </c>
      <c r="J824" s="2">
        <v>24.99</v>
      </c>
      <c r="K824" s="2">
        <v>49.98</v>
      </c>
      <c r="L824">
        <v>5</v>
      </c>
      <c r="M824" t="str">
        <f>IF(Table1[[#This Row],[Customer Rating]]&gt;=3,"Good","Average")</f>
        <v>Good</v>
      </c>
    </row>
    <row r="825" spans="1:13" x14ac:dyDescent="0.25">
      <c r="A825" t="s">
        <v>875</v>
      </c>
      <c r="B825" s="4">
        <v>45676</v>
      </c>
      <c r="C825" s="4" t="str">
        <f>TEXT(Table1[[#This Row],[Order Date]],"mmm")</f>
        <v>Jan</v>
      </c>
      <c r="D825" s="4" t="str">
        <f>TEXT(Table1[[#This Row],[Order Date]],"yyyy")</f>
        <v>2025</v>
      </c>
      <c r="E825" t="s">
        <v>16</v>
      </c>
      <c r="F825" t="s">
        <v>29</v>
      </c>
      <c r="G825" t="s">
        <v>119</v>
      </c>
      <c r="H825" t="s">
        <v>19</v>
      </c>
      <c r="I825">
        <v>2</v>
      </c>
      <c r="J825" s="2">
        <v>4.99</v>
      </c>
      <c r="K825" s="2">
        <v>9.98</v>
      </c>
      <c r="L825">
        <v>3</v>
      </c>
      <c r="M825" t="str">
        <f>IF(Table1[[#This Row],[Customer Rating]]&gt;=3,"Good","Average")</f>
        <v>Good</v>
      </c>
    </row>
    <row r="826" spans="1:13" x14ac:dyDescent="0.25">
      <c r="A826" t="s">
        <v>876</v>
      </c>
      <c r="B826" s="4">
        <v>45325</v>
      </c>
      <c r="C826" s="4" t="str">
        <f>TEXT(Table1[[#This Row],[Order Date]],"mmm")</f>
        <v>Feb</v>
      </c>
      <c r="D826" s="4" t="str">
        <f>TEXT(Table1[[#This Row],[Order Date]],"yyyy")</f>
        <v>2024</v>
      </c>
      <c r="E826" t="s">
        <v>32</v>
      </c>
      <c r="F826" t="s">
        <v>17</v>
      </c>
      <c r="G826" t="s">
        <v>50</v>
      </c>
      <c r="H826" t="s">
        <v>14</v>
      </c>
      <c r="I826">
        <v>2</v>
      </c>
      <c r="J826" s="2">
        <v>22.99</v>
      </c>
      <c r="K826" s="2">
        <v>45.98</v>
      </c>
      <c r="L826">
        <v>4</v>
      </c>
      <c r="M826" t="str">
        <f>IF(Table1[[#This Row],[Customer Rating]]&gt;=3,"Good","Average")</f>
        <v>Good</v>
      </c>
    </row>
    <row r="827" spans="1:13" x14ac:dyDescent="0.25">
      <c r="A827" t="s">
        <v>877</v>
      </c>
      <c r="B827" s="4">
        <v>45607</v>
      </c>
      <c r="C827" s="4" t="str">
        <f>TEXT(Table1[[#This Row],[Order Date]],"mmm")</f>
        <v>Nov</v>
      </c>
      <c r="D827" s="4" t="str">
        <f>TEXT(Table1[[#This Row],[Order Date]],"yyyy")</f>
        <v>2024</v>
      </c>
      <c r="E827" t="s">
        <v>16</v>
      </c>
      <c r="F827" t="s">
        <v>29</v>
      </c>
      <c r="G827" t="s">
        <v>13</v>
      </c>
      <c r="H827" t="s">
        <v>14</v>
      </c>
      <c r="I827">
        <v>2</v>
      </c>
      <c r="J827" s="2">
        <v>18.989999999999998</v>
      </c>
      <c r="K827" s="2">
        <v>37.979999999999997</v>
      </c>
      <c r="L827">
        <v>4</v>
      </c>
      <c r="M827" t="str">
        <f>IF(Table1[[#This Row],[Customer Rating]]&gt;=3,"Good","Average")</f>
        <v>Good</v>
      </c>
    </row>
    <row r="828" spans="1:13" x14ac:dyDescent="0.25">
      <c r="A828" t="s">
        <v>878</v>
      </c>
      <c r="B828" s="4">
        <v>45328</v>
      </c>
      <c r="C828" s="4" t="str">
        <f>TEXT(Table1[[#This Row],[Order Date]],"mmm")</f>
        <v>Feb</v>
      </c>
      <c r="D828" s="4" t="str">
        <f>TEXT(Table1[[#This Row],[Order Date]],"yyyy")</f>
        <v>2024</v>
      </c>
      <c r="E828" t="s">
        <v>38</v>
      </c>
      <c r="F828" t="s">
        <v>12</v>
      </c>
      <c r="G828" t="s">
        <v>43</v>
      </c>
      <c r="H828" t="s">
        <v>23</v>
      </c>
      <c r="I828">
        <v>3</v>
      </c>
      <c r="J828" s="2">
        <v>11.99</v>
      </c>
      <c r="K828" s="2">
        <v>35.97</v>
      </c>
      <c r="L828">
        <v>4</v>
      </c>
      <c r="M828" t="str">
        <f>IF(Table1[[#This Row],[Customer Rating]]&gt;=3,"Good","Average")</f>
        <v>Good</v>
      </c>
    </row>
    <row r="829" spans="1:13" x14ac:dyDescent="0.25">
      <c r="A829" t="s">
        <v>879</v>
      </c>
      <c r="B829" s="4">
        <v>45375</v>
      </c>
      <c r="C829" s="4" t="str">
        <f>TEXT(Table1[[#This Row],[Order Date]],"mmm")</f>
        <v>Mar</v>
      </c>
      <c r="D829" s="4" t="str">
        <f>TEXT(Table1[[#This Row],[Order Date]],"yyyy")</f>
        <v>2024</v>
      </c>
      <c r="E829" t="s">
        <v>34</v>
      </c>
      <c r="F829" t="s">
        <v>12</v>
      </c>
      <c r="G829" t="s">
        <v>26</v>
      </c>
      <c r="H829" t="s">
        <v>19</v>
      </c>
      <c r="I829">
        <v>1</v>
      </c>
      <c r="J829" s="2">
        <v>3.49</v>
      </c>
      <c r="K829" s="2">
        <v>3.49</v>
      </c>
      <c r="L829">
        <v>5</v>
      </c>
      <c r="M829" t="str">
        <f>IF(Table1[[#This Row],[Customer Rating]]&gt;=3,"Good","Average")</f>
        <v>Good</v>
      </c>
    </row>
    <row r="830" spans="1:13" x14ac:dyDescent="0.25">
      <c r="A830" t="s">
        <v>880</v>
      </c>
      <c r="B830" s="4">
        <v>45541</v>
      </c>
      <c r="C830" s="4" t="str">
        <f>TEXT(Table1[[#This Row],[Order Date]],"mmm")</f>
        <v>Sep</v>
      </c>
      <c r="D830" s="4" t="str">
        <f>TEXT(Table1[[#This Row],[Order Date]],"yyyy")</f>
        <v>2024</v>
      </c>
      <c r="E830" t="s">
        <v>97</v>
      </c>
      <c r="F830" t="s">
        <v>29</v>
      </c>
      <c r="G830" t="s">
        <v>69</v>
      </c>
      <c r="H830" t="s">
        <v>67</v>
      </c>
      <c r="I830">
        <v>1</v>
      </c>
      <c r="J830" s="2">
        <v>8.99</v>
      </c>
      <c r="K830" s="2">
        <v>8.99</v>
      </c>
      <c r="L830">
        <v>4</v>
      </c>
      <c r="M830" t="str">
        <f>IF(Table1[[#This Row],[Customer Rating]]&gt;=3,"Good","Average")</f>
        <v>Good</v>
      </c>
    </row>
    <row r="831" spans="1:13" x14ac:dyDescent="0.25">
      <c r="A831" t="s">
        <v>881</v>
      </c>
      <c r="B831" s="4">
        <v>45608</v>
      </c>
      <c r="C831" s="4" t="str">
        <f>TEXT(Table1[[#This Row],[Order Date]],"mmm")</f>
        <v>Nov</v>
      </c>
      <c r="D831" s="4" t="str">
        <f>TEXT(Table1[[#This Row],[Order Date]],"yyyy")</f>
        <v>2024</v>
      </c>
      <c r="E831" t="s">
        <v>34</v>
      </c>
      <c r="F831" t="s">
        <v>29</v>
      </c>
      <c r="G831" t="s">
        <v>62</v>
      </c>
      <c r="H831" t="s">
        <v>23</v>
      </c>
      <c r="I831">
        <v>2</v>
      </c>
      <c r="J831" s="2">
        <v>9.99</v>
      </c>
      <c r="K831" s="2">
        <v>19.98</v>
      </c>
      <c r="L831">
        <v>5</v>
      </c>
      <c r="M831" t="str">
        <f>IF(Table1[[#This Row],[Customer Rating]]&gt;=3,"Good","Average")</f>
        <v>Good</v>
      </c>
    </row>
    <row r="832" spans="1:13" x14ac:dyDescent="0.25">
      <c r="A832" t="s">
        <v>882</v>
      </c>
      <c r="B832" s="4">
        <v>45809</v>
      </c>
      <c r="C832" s="4" t="str">
        <f>TEXT(Table1[[#This Row],[Order Date]],"mmm")</f>
        <v>Jun</v>
      </c>
      <c r="D832" s="4" t="str">
        <f>TEXT(Table1[[#This Row],[Order Date]],"yyyy")</f>
        <v>2025</v>
      </c>
      <c r="E832" t="s">
        <v>32</v>
      </c>
      <c r="F832" t="s">
        <v>12</v>
      </c>
      <c r="G832" t="s">
        <v>50</v>
      </c>
      <c r="H832" t="s">
        <v>14</v>
      </c>
      <c r="I832">
        <v>2</v>
      </c>
      <c r="J832" s="2">
        <v>22.99</v>
      </c>
      <c r="K832" s="2">
        <v>45.98</v>
      </c>
      <c r="L832">
        <v>3</v>
      </c>
      <c r="M832" t="str">
        <f>IF(Table1[[#This Row],[Customer Rating]]&gt;=3,"Good","Average")</f>
        <v>Good</v>
      </c>
    </row>
    <row r="833" spans="1:13" x14ac:dyDescent="0.25">
      <c r="A833" t="s">
        <v>883</v>
      </c>
      <c r="B833" s="4">
        <v>45366</v>
      </c>
      <c r="C833" s="4" t="str">
        <f>TEXT(Table1[[#This Row],[Order Date]],"mmm")</f>
        <v>Mar</v>
      </c>
      <c r="D833" s="4" t="str">
        <f>TEXT(Table1[[#This Row],[Order Date]],"yyyy")</f>
        <v>2024</v>
      </c>
      <c r="E833" t="s">
        <v>38</v>
      </c>
      <c r="F833" t="s">
        <v>12</v>
      </c>
      <c r="G833" t="s">
        <v>22</v>
      </c>
      <c r="H833" t="s">
        <v>23</v>
      </c>
      <c r="I833">
        <v>2</v>
      </c>
      <c r="J833" s="2">
        <v>8.99</v>
      </c>
      <c r="K833" s="2">
        <v>17.98</v>
      </c>
      <c r="L833">
        <v>4</v>
      </c>
      <c r="M833" t="str">
        <f>IF(Table1[[#This Row],[Customer Rating]]&gt;=3,"Good","Average")</f>
        <v>Good</v>
      </c>
    </row>
    <row r="834" spans="1:13" x14ac:dyDescent="0.25">
      <c r="A834" t="s">
        <v>884</v>
      </c>
      <c r="B834" s="4">
        <v>45985</v>
      </c>
      <c r="C834" s="4" t="str">
        <f>TEXT(Table1[[#This Row],[Order Date]],"mmm")</f>
        <v>Nov</v>
      </c>
      <c r="D834" s="4" t="str">
        <f>TEXT(Table1[[#This Row],[Order Date]],"yyyy")</f>
        <v>2025</v>
      </c>
      <c r="E834" t="s">
        <v>28</v>
      </c>
      <c r="F834" t="s">
        <v>12</v>
      </c>
      <c r="G834" t="s">
        <v>55</v>
      </c>
      <c r="H834" t="s">
        <v>23</v>
      </c>
      <c r="I834">
        <v>2</v>
      </c>
      <c r="J834" s="2">
        <v>10.99</v>
      </c>
      <c r="K834" s="2">
        <v>21.98</v>
      </c>
      <c r="L834">
        <v>3</v>
      </c>
      <c r="M834" t="str">
        <f>IF(Table1[[#This Row],[Customer Rating]]&gt;=3,"Good","Average")</f>
        <v>Good</v>
      </c>
    </row>
    <row r="835" spans="1:13" x14ac:dyDescent="0.25">
      <c r="A835" t="s">
        <v>885</v>
      </c>
      <c r="B835" s="4">
        <v>45923</v>
      </c>
      <c r="C835" s="4" t="str">
        <f>TEXT(Table1[[#This Row],[Order Date]],"mmm")</f>
        <v>Sep</v>
      </c>
      <c r="D835" s="4" t="str">
        <f>TEXT(Table1[[#This Row],[Order Date]],"yyyy")</f>
        <v>2025</v>
      </c>
      <c r="E835" t="s">
        <v>16</v>
      </c>
      <c r="F835" t="s">
        <v>12</v>
      </c>
      <c r="G835" t="s">
        <v>57</v>
      </c>
      <c r="H835" t="s">
        <v>14</v>
      </c>
      <c r="I835">
        <v>2</v>
      </c>
      <c r="J835" s="2">
        <v>15.99</v>
      </c>
      <c r="K835" s="2">
        <v>31.98</v>
      </c>
      <c r="L835">
        <v>4</v>
      </c>
      <c r="M835" t="str">
        <f>IF(Table1[[#This Row],[Customer Rating]]&gt;=3,"Good","Average")</f>
        <v>Good</v>
      </c>
    </row>
    <row r="836" spans="1:13" x14ac:dyDescent="0.25">
      <c r="A836" t="s">
        <v>886</v>
      </c>
      <c r="B836" s="4">
        <v>45657</v>
      </c>
      <c r="C836" s="4" t="str">
        <f>TEXT(Table1[[#This Row],[Order Date]],"mmm")</f>
        <v>Dec</v>
      </c>
      <c r="D836" s="4" t="str">
        <f>TEXT(Table1[[#This Row],[Order Date]],"yyyy")</f>
        <v>2024</v>
      </c>
      <c r="E836" t="s">
        <v>25</v>
      </c>
      <c r="F836" t="s">
        <v>29</v>
      </c>
      <c r="G836" t="s">
        <v>46</v>
      </c>
      <c r="H836" t="s">
        <v>14</v>
      </c>
      <c r="I836">
        <v>1</v>
      </c>
      <c r="J836" s="2">
        <v>32.99</v>
      </c>
      <c r="K836" s="2">
        <v>32.99</v>
      </c>
      <c r="L836">
        <v>4</v>
      </c>
      <c r="M836" t="str">
        <f>IF(Table1[[#This Row],[Customer Rating]]&gt;=3,"Good","Average")</f>
        <v>Good</v>
      </c>
    </row>
    <row r="837" spans="1:13" x14ac:dyDescent="0.25">
      <c r="A837" t="s">
        <v>887</v>
      </c>
      <c r="B837" s="4">
        <v>45610</v>
      </c>
      <c r="C837" s="4" t="str">
        <f>TEXT(Table1[[#This Row],[Order Date]],"mmm")</f>
        <v>Nov</v>
      </c>
      <c r="D837" s="4" t="str">
        <f>TEXT(Table1[[#This Row],[Order Date]],"yyyy")</f>
        <v>2024</v>
      </c>
      <c r="E837" t="s">
        <v>34</v>
      </c>
      <c r="F837" t="s">
        <v>17</v>
      </c>
      <c r="G837" t="s">
        <v>57</v>
      </c>
      <c r="H837" t="s">
        <v>14</v>
      </c>
      <c r="I837">
        <v>2</v>
      </c>
      <c r="J837" s="2">
        <v>15.99</v>
      </c>
      <c r="K837" s="2">
        <v>31.98</v>
      </c>
      <c r="L837">
        <v>5</v>
      </c>
      <c r="M837" t="str">
        <f>IF(Table1[[#This Row],[Customer Rating]]&gt;=3,"Good","Average")</f>
        <v>Good</v>
      </c>
    </row>
    <row r="838" spans="1:13" x14ac:dyDescent="0.25">
      <c r="A838" t="s">
        <v>888</v>
      </c>
      <c r="B838" s="4">
        <v>45928</v>
      </c>
      <c r="C838" s="4" t="str">
        <f>TEXT(Table1[[#This Row],[Order Date]],"mmm")</f>
        <v>Sep</v>
      </c>
      <c r="D838" s="4" t="str">
        <f>TEXT(Table1[[#This Row],[Order Date]],"yyyy")</f>
        <v>2025</v>
      </c>
      <c r="E838" t="s">
        <v>97</v>
      </c>
      <c r="F838" t="s">
        <v>29</v>
      </c>
      <c r="G838" t="s">
        <v>83</v>
      </c>
      <c r="H838" t="s">
        <v>14</v>
      </c>
      <c r="I838">
        <v>1</v>
      </c>
      <c r="J838" s="2">
        <v>17.989999999999998</v>
      </c>
      <c r="K838" s="2">
        <v>17.989999999999998</v>
      </c>
      <c r="L838">
        <v>5</v>
      </c>
      <c r="M838" t="str">
        <f>IF(Table1[[#This Row],[Customer Rating]]&gt;=3,"Good","Average")</f>
        <v>Good</v>
      </c>
    </row>
    <row r="839" spans="1:13" x14ac:dyDescent="0.25">
      <c r="A839" t="s">
        <v>889</v>
      </c>
      <c r="B839" s="4">
        <v>45679</v>
      </c>
      <c r="C839" s="4" t="str">
        <f>TEXT(Table1[[#This Row],[Order Date]],"mmm")</f>
        <v>Jan</v>
      </c>
      <c r="D839" s="4" t="str">
        <f>TEXT(Table1[[#This Row],[Order Date]],"yyyy")</f>
        <v>2025</v>
      </c>
      <c r="E839" t="s">
        <v>21</v>
      </c>
      <c r="F839" t="s">
        <v>12</v>
      </c>
      <c r="G839" t="s">
        <v>221</v>
      </c>
      <c r="H839" t="s">
        <v>67</v>
      </c>
      <c r="I839">
        <v>1</v>
      </c>
      <c r="J839" s="2">
        <v>9.99</v>
      </c>
      <c r="K839" s="2">
        <v>9.99</v>
      </c>
      <c r="L839">
        <v>3</v>
      </c>
      <c r="M839" t="str">
        <f>IF(Table1[[#This Row],[Customer Rating]]&gt;=3,"Good","Average")</f>
        <v>Good</v>
      </c>
    </row>
    <row r="840" spans="1:13" x14ac:dyDescent="0.25">
      <c r="A840" t="s">
        <v>890</v>
      </c>
      <c r="B840" s="4">
        <v>45822</v>
      </c>
      <c r="C840" s="4" t="str">
        <f>TEXT(Table1[[#This Row],[Order Date]],"mmm")</f>
        <v>Jun</v>
      </c>
      <c r="D840" s="4" t="str">
        <f>TEXT(Table1[[#This Row],[Order Date]],"yyyy")</f>
        <v>2025</v>
      </c>
      <c r="E840" t="s">
        <v>32</v>
      </c>
      <c r="F840" t="s">
        <v>12</v>
      </c>
      <c r="G840" t="s">
        <v>52</v>
      </c>
      <c r="H840" t="s">
        <v>19</v>
      </c>
      <c r="I840">
        <v>2</v>
      </c>
      <c r="J840" s="2">
        <v>6.99</v>
      </c>
      <c r="K840" s="2">
        <v>13.98</v>
      </c>
      <c r="L840">
        <v>4</v>
      </c>
      <c r="M840" t="str">
        <f>IF(Table1[[#This Row],[Customer Rating]]&gt;=3,"Good","Average")</f>
        <v>Good</v>
      </c>
    </row>
    <row r="841" spans="1:13" x14ac:dyDescent="0.25">
      <c r="A841" t="s">
        <v>891</v>
      </c>
      <c r="B841" s="4">
        <v>45937</v>
      </c>
      <c r="C841" s="4" t="str">
        <f>TEXT(Table1[[#This Row],[Order Date]],"mmm")</f>
        <v>Oct</v>
      </c>
      <c r="D841" s="4" t="str">
        <f>TEXT(Table1[[#This Row],[Order Date]],"yyyy")</f>
        <v>2025</v>
      </c>
      <c r="E841" t="s">
        <v>25</v>
      </c>
      <c r="F841" t="s">
        <v>29</v>
      </c>
      <c r="G841" t="s">
        <v>46</v>
      </c>
      <c r="H841" t="s">
        <v>14</v>
      </c>
      <c r="I841">
        <v>3</v>
      </c>
      <c r="J841" s="2">
        <v>32.99</v>
      </c>
      <c r="K841" s="2">
        <v>98.97</v>
      </c>
      <c r="L841">
        <v>4</v>
      </c>
      <c r="M841" t="str">
        <f>IF(Table1[[#This Row],[Customer Rating]]&gt;=3,"Good","Average")</f>
        <v>Good</v>
      </c>
    </row>
    <row r="842" spans="1:13" x14ac:dyDescent="0.25">
      <c r="A842" t="s">
        <v>892</v>
      </c>
      <c r="B842" s="4">
        <v>45328</v>
      </c>
      <c r="C842" s="4" t="str">
        <f>TEXT(Table1[[#This Row],[Order Date]],"mmm")</f>
        <v>Feb</v>
      </c>
      <c r="D842" s="4" t="str">
        <f>TEXT(Table1[[#This Row],[Order Date]],"yyyy")</f>
        <v>2024</v>
      </c>
      <c r="E842" t="s">
        <v>16</v>
      </c>
      <c r="F842" t="s">
        <v>29</v>
      </c>
      <c r="G842" t="s">
        <v>22</v>
      </c>
      <c r="H842" t="s">
        <v>23</v>
      </c>
      <c r="I842">
        <v>1</v>
      </c>
      <c r="J842" s="2">
        <v>8.99</v>
      </c>
      <c r="K842" s="2">
        <v>8.99</v>
      </c>
      <c r="L842">
        <v>4</v>
      </c>
      <c r="M842" t="str">
        <f>IF(Table1[[#This Row],[Customer Rating]]&gt;=3,"Good","Average")</f>
        <v>Good</v>
      </c>
    </row>
    <row r="843" spans="1:13" x14ac:dyDescent="0.25">
      <c r="A843" t="s">
        <v>893</v>
      </c>
      <c r="B843" s="4">
        <v>45662</v>
      </c>
      <c r="C843" s="4" t="str">
        <f>TEXT(Table1[[#This Row],[Order Date]],"mmm")</f>
        <v>Jan</v>
      </c>
      <c r="D843" s="4" t="str">
        <f>TEXT(Table1[[#This Row],[Order Date]],"yyyy")</f>
        <v>2025</v>
      </c>
      <c r="E843" t="s">
        <v>16</v>
      </c>
      <c r="F843" t="s">
        <v>12</v>
      </c>
      <c r="G843" t="s">
        <v>142</v>
      </c>
      <c r="H843" t="s">
        <v>23</v>
      </c>
      <c r="I843">
        <v>2</v>
      </c>
      <c r="J843" s="2">
        <v>14.99</v>
      </c>
      <c r="K843" s="2">
        <v>29.98</v>
      </c>
      <c r="L843">
        <v>4</v>
      </c>
      <c r="M843" t="str">
        <f>IF(Table1[[#This Row],[Customer Rating]]&gt;=3,"Good","Average")</f>
        <v>Good</v>
      </c>
    </row>
    <row r="844" spans="1:13" x14ac:dyDescent="0.25">
      <c r="A844" t="s">
        <v>894</v>
      </c>
      <c r="B844" s="4">
        <v>45833</v>
      </c>
      <c r="C844" s="4" t="str">
        <f>TEXT(Table1[[#This Row],[Order Date]],"mmm")</f>
        <v>Jun</v>
      </c>
      <c r="D844" s="4" t="str">
        <f>TEXT(Table1[[#This Row],[Order Date]],"yyyy")</f>
        <v>2025</v>
      </c>
      <c r="E844" t="s">
        <v>32</v>
      </c>
      <c r="F844" t="s">
        <v>12</v>
      </c>
      <c r="G844" t="s">
        <v>39</v>
      </c>
      <c r="H844" t="s">
        <v>14</v>
      </c>
      <c r="I844">
        <v>1</v>
      </c>
      <c r="J844" s="2">
        <v>24.99</v>
      </c>
      <c r="K844" s="2">
        <v>24.99</v>
      </c>
      <c r="L844">
        <v>3</v>
      </c>
      <c r="M844" t="str">
        <f>IF(Table1[[#This Row],[Customer Rating]]&gt;=3,"Good","Average")</f>
        <v>Good</v>
      </c>
    </row>
    <row r="845" spans="1:13" x14ac:dyDescent="0.25">
      <c r="A845" t="s">
        <v>895</v>
      </c>
      <c r="B845" s="4">
        <v>45839</v>
      </c>
      <c r="C845" s="4" t="str">
        <f>TEXT(Table1[[#This Row],[Order Date]],"mmm")</f>
        <v>Jul</v>
      </c>
      <c r="D845" s="4" t="str">
        <f>TEXT(Table1[[#This Row],[Order Date]],"yyyy")</f>
        <v>2025</v>
      </c>
      <c r="E845" t="s">
        <v>25</v>
      </c>
      <c r="F845" t="s">
        <v>12</v>
      </c>
      <c r="G845" t="s">
        <v>41</v>
      </c>
      <c r="H845" t="s">
        <v>23</v>
      </c>
      <c r="I845">
        <v>1</v>
      </c>
      <c r="J845" s="2">
        <v>12.99</v>
      </c>
      <c r="K845" s="2">
        <v>12.99</v>
      </c>
      <c r="L845">
        <v>3</v>
      </c>
      <c r="M845" t="str">
        <f>IF(Table1[[#This Row],[Customer Rating]]&gt;=3,"Good","Average")</f>
        <v>Good</v>
      </c>
    </row>
    <row r="846" spans="1:13" x14ac:dyDescent="0.25">
      <c r="A846" t="s">
        <v>896</v>
      </c>
      <c r="B846" s="4">
        <v>45450</v>
      </c>
      <c r="C846" s="4" t="str">
        <f>TEXT(Table1[[#This Row],[Order Date]],"mmm")</f>
        <v>Jun</v>
      </c>
      <c r="D846" s="4" t="str">
        <f>TEXT(Table1[[#This Row],[Order Date]],"yyyy")</f>
        <v>2024</v>
      </c>
      <c r="E846" t="s">
        <v>38</v>
      </c>
      <c r="F846" t="s">
        <v>12</v>
      </c>
      <c r="G846" t="s">
        <v>57</v>
      </c>
      <c r="H846" t="s">
        <v>14</v>
      </c>
      <c r="I846">
        <v>2</v>
      </c>
      <c r="J846" s="2">
        <v>15.99</v>
      </c>
      <c r="K846" s="2">
        <v>31.98</v>
      </c>
      <c r="L846">
        <v>4</v>
      </c>
      <c r="M846" t="str">
        <f>IF(Table1[[#This Row],[Customer Rating]]&gt;=3,"Good","Average")</f>
        <v>Good</v>
      </c>
    </row>
    <row r="847" spans="1:13" x14ac:dyDescent="0.25">
      <c r="A847" t="s">
        <v>897</v>
      </c>
      <c r="B847" s="4">
        <v>45524</v>
      </c>
      <c r="C847" s="4" t="str">
        <f>TEXT(Table1[[#This Row],[Order Date]],"mmm")</f>
        <v>Aug</v>
      </c>
      <c r="D847" s="4" t="str">
        <f>TEXT(Table1[[#This Row],[Order Date]],"yyyy")</f>
        <v>2024</v>
      </c>
      <c r="E847" t="s">
        <v>38</v>
      </c>
      <c r="F847" t="s">
        <v>12</v>
      </c>
      <c r="G847" t="s">
        <v>43</v>
      </c>
      <c r="H847" t="s">
        <v>23</v>
      </c>
      <c r="I847">
        <v>2</v>
      </c>
      <c r="J847" s="2">
        <v>11.99</v>
      </c>
      <c r="K847" s="2">
        <v>23.98</v>
      </c>
      <c r="L847">
        <v>4</v>
      </c>
      <c r="M847" t="str">
        <f>IF(Table1[[#This Row],[Customer Rating]]&gt;=3,"Good","Average")</f>
        <v>Good</v>
      </c>
    </row>
    <row r="848" spans="1:13" x14ac:dyDescent="0.25">
      <c r="A848" t="s">
        <v>898</v>
      </c>
      <c r="B848" s="4">
        <v>45922</v>
      </c>
      <c r="C848" s="4" t="str">
        <f>TEXT(Table1[[#This Row],[Order Date]],"mmm")</f>
        <v>Sep</v>
      </c>
      <c r="D848" s="4" t="str">
        <f>TEXT(Table1[[#This Row],[Order Date]],"yyyy")</f>
        <v>2025</v>
      </c>
      <c r="E848" t="s">
        <v>21</v>
      </c>
      <c r="F848" t="s">
        <v>29</v>
      </c>
      <c r="G848" t="s">
        <v>119</v>
      </c>
      <c r="H848" t="s">
        <v>19</v>
      </c>
      <c r="I848">
        <v>2</v>
      </c>
      <c r="J848" s="2">
        <v>4.99</v>
      </c>
      <c r="K848" s="2">
        <v>9.98</v>
      </c>
      <c r="L848">
        <v>4</v>
      </c>
      <c r="M848" t="str">
        <f>IF(Table1[[#This Row],[Customer Rating]]&gt;=3,"Good","Average")</f>
        <v>Good</v>
      </c>
    </row>
    <row r="849" spans="1:13" x14ac:dyDescent="0.25">
      <c r="A849" t="s">
        <v>899</v>
      </c>
      <c r="B849" s="4">
        <v>45438</v>
      </c>
      <c r="C849" s="4" t="str">
        <f>TEXT(Table1[[#This Row],[Order Date]],"mmm")</f>
        <v>May</v>
      </c>
      <c r="D849" s="4" t="str">
        <f>TEXT(Table1[[#This Row],[Order Date]],"yyyy")</f>
        <v>2024</v>
      </c>
      <c r="E849" t="s">
        <v>25</v>
      </c>
      <c r="F849" t="s">
        <v>12</v>
      </c>
      <c r="G849" t="s">
        <v>26</v>
      </c>
      <c r="H849" t="s">
        <v>19</v>
      </c>
      <c r="I849">
        <v>3</v>
      </c>
      <c r="J849" s="2">
        <v>3.49</v>
      </c>
      <c r="K849" s="2">
        <v>10.47</v>
      </c>
      <c r="L849">
        <v>4</v>
      </c>
      <c r="M849" t="str">
        <f>IF(Table1[[#This Row],[Customer Rating]]&gt;=3,"Good","Average")</f>
        <v>Good</v>
      </c>
    </row>
    <row r="850" spans="1:13" x14ac:dyDescent="0.25">
      <c r="A850" t="s">
        <v>900</v>
      </c>
      <c r="B850" s="4">
        <v>45355</v>
      </c>
      <c r="C850" s="4" t="str">
        <f>TEXT(Table1[[#This Row],[Order Date]],"mmm")</f>
        <v>Mar</v>
      </c>
      <c r="D850" s="4" t="str">
        <f>TEXT(Table1[[#This Row],[Order Date]],"yyyy")</f>
        <v>2024</v>
      </c>
      <c r="E850" t="s">
        <v>28</v>
      </c>
      <c r="F850" t="s">
        <v>29</v>
      </c>
      <c r="G850" t="s">
        <v>13</v>
      </c>
      <c r="H850" t="s">
        <v>14</v>
      </c>
      <c r="I850">
        <v>2</v>
      </c>
      <c r="J850" s="2">
        <v>18.989999999999998</v>
      </c>
      <c r="K850" s="2">
        <v>37.979999999999997</v>
      </c>
      <c r="L850">
        <v>3</v>
      </c>
      <c r="M850" t="str">
        <f>IF(Table1[[#This Row],[Customer Rating]]&gt;=3,"Good","Average")</f>
        <v>Good</v>
      </c>
    </row>
    <row r="851" spans="1:13" x14ac:dyDescent="0.25">
      <c r="A851" t="s">
        <v>901</v>
      </c>
      <c r="B851" s="4">
        <v>45911</v>
      </c>
      <c r="C851" s="4" t="str">
        <f>TEXT(Table1[[#This Row],[Order Date]],"mmm")</f>
        <v>Sep</v>
      </c>
      <c r="D851" s="4" t="str">
        <f>TEXT(Table1[[#This Row],[Order Date]],"yyyy")</f>
        <v>2025</v>
      </c>
      <c r="E851" t="s">
        <v>11</v>
      </c>
      <c r="F851" t="s">
        <v>12</v>
      </c>
      <c r="G851" t="s">
        <v>50</v>
      </c>
      <c r="H851" t="s">
        <v>14</v>
      </c>
      <c r="I851">
        <v>2</v>
      </c>
      <c r="J851" s="2">
        <v>22.99</v>
      </c>
      <c r="K851" s="2">
        <v>45.98</v>
      </c>
      <c r="L851">
        <v>3</v>
      </c>
      <c r="M851" t="str">
        <f>IF(Table1[[#This Row],[Customer Rating]]&gt;=3,"Good","Average")</f>
        <v>Good</v>
      </c>
    </row>
    <row r="852" spans="1:13" x14ac:dyDescent="0.25">
      <c r="A852" t="s">
        <v>902</v>
      </c>
      <c r="B852" s="4">
        <v>45901</v>
      </c>
      <c r="C852" s="4" t="str">
        <f>TEXT(Table1[[#This Row],[Order Date]],"mmm")</f>
        <v>Sep</v>
      </c>
      <c r="D852" s="4" t="str">
        <f>TEXT(Table1[[#This Row],[Order Date]],"yyyy")</f>
        <v>2025</v>
      </c>
      <c r="E852" t="s">
        <v>97</v>
      </c>
      <c r="F852" t="s">
        <v>17</v>
      </c>
      <c r="G852" t="s">
        <v>79</v>
      </c>
      <c r="H852" t="s">
        <v>67</v>
      </c>
      <c r="I852">
        <v>2</v>
      </c>
      <c r="J852" s="2">
        <v>10.99</v>
      </c>
      <c r="K852" s="2">
        <v>21.98</v>
      </c>
      <c r="L852">
        <v>4</v>
      </c>
      <c r="M852" t="str">
        <f>IF(Table1[[#This Row],[Customer Rating]]&gt;=3,"Good","Average")</f>
        <v>Good</v>
      </c>
    </row>
    <row r="853" spans="1:13" x14ac:dyDescent="0.25">
      <c r="A853" t="s">
        <v>903</v>
      </c>
      <c r="B853" s="4">
        <v>45890</v>
      </c>
      <c r="C853" s="4" t="str">
        <f>TEXT(Table1[[#This Row],[Order Date]],"mmm")</f>
        <v>Aug</v>
      </c>
      <c r="D853" s="4" t="str">
        <f>TEXT(Table1[[#This Row],[Order Date]],"yyyy")</f>
        <v>2025</v>
      </c>
      <c r="E853" t="s">
        <v>34</v>
      </c>
      <c r="F853" t="s">
        <v>12</v>
      </c>
      <c r="G853" t="s">
        <v>57</v>
      </c>
      <c r="H853" t="s">
        <v>14</v>
      </c>
      <c r="I853">
        <v>1</v>
      </c>
      <c r="J853" s="2">
        <v>15.99</v>
      </c>
      <c r="K853" s="2">
        <v>15.99</v>
      </c>
      <c r="L853">
        <v>4</v>
      </c>
      <c r="M853" t="str">
        <f>IF(Table1[[#This Row],[Customer Rating]]&gt;=3,"Good","Average")</f>
        <v>Good</v>
      </c>
    </row>
    <row r="854" spans="1:13" x14ac:dyDescent="0.25">
      <c r="A854" t="s">
        <v>904</v>
      </c>
      <c r="B854" s="4">
        <v>45447</v>
      </c>
      <c r="C854" s="4" t="str">
        <f>TEXT(Table1[[#This Row],[Order Date]],"mmm")</f>
        <v>Jun</v>
      </c>
      <c r="D854" s="4" t="str">
        <f>TEXT(Table1[[#This Row],[Order Date]],"yyyy")</f>
        <v>2024</v>
      </c>
      <c r="E854" t="s">
        <v>97</v>
      </c>
      <c r="F854" t="s">
        <v>12</v>
      </c>
      <c r="G854" t="s">
        <v>57</v>
      </c>
      <c r="H854" t="s">
        <v>14</v>
      </c>
      <c r="I854">
        <v>3</v>
      </c>
      <c r="J854" s="2">
        <v>15.99</v>
      </c>
      <c r="K854" s="2">
        <v>47.97</v>
      </c>
      <c r="L854">
        <v>4</v>
      </c>
      <c r="M854" t="str">
        <f>IF(Table1[[#This Row],[Customer Rating]]&gt;=3,"Good","Average")</f>
        <v>Good</v>
      </c>
    </row>
    <row r="855" spans="1:13" x14ac:dyDescent="0.25">
      <c r="A855" t="s">
        <v>905</v>
      </c>
      <c r="B855" s="4">
        <v>45733</v>
      </c>
      <c r="C855" s="4" t="str">
        <f>TEXT(Table1[[#This Row],[Order Date]],"mmm")</f>
        <v>Mar</v>
      </c>
      <c r="D855" s="4" t="str">
        <f>TEXT(Table1[[#This Row],[Order Date]],"yyyy")</f>
        <v>2025</v>
      </c>
      <c r="E855" t="s">
        <v>34</v>
      </c>
      <c r="F855" t="s">
        <v>29</v>
      </c>
      <c r="G855" t="s">
        <v>50</v>
      </c>
      <c r="H855" t="s">
        <v>14</v>
      </c>
      <c r="I855">
        <v>4</v>
      </c>
      <c r="J855" s="2">
        <v>22.99</v>
      </c>
      <c r="K855" s="2">
        <v>91.96</v>
      </c>
      <c r="L855">
        <v>4</v>
      </c>
      <c r="M855" t="str">
        <f>IF(Table1[[#This Row],[Customer Rating]]&gt;=3,"Good","Average")</f>
        <v>Good</v>
      </c>
    </row>
    <row r="856" spans="1:13" x14ac:dyDescent="0.25">
      <c r="A856" t="s">
        <v>906</v>
      </c>
      <c r="B856" s="4">
        <v>45390</v>
      </c>
      <c r="C856" s="4" t="str">
        <f>TEXT(Table1[[#This Row],[Order Date]],"mmm")</f>
        <v>Apr</v>
      </c>
      <c r="D856" s="4" t="str">
        <f>TEXT(Table1[[#This Row],[Order Date]],"yyyy")</f>
        <v>2024</v>
      </c>
      <c r="E856" t="s">
        <v>16</v>
      </c>
      <c r="F856" t="s">
        <v>29</v>
      </c>
      <c r="G856" t="s">
        <v>69</v>
      </c>
      <c r="H856" t="s">
        <v>67</v>
      </c>
      <c r="I856">
        <v>2</v>
      </c>
      <c r="J856" s="2">
        <v>8.99</v>
      </c>
      <c r="K856" s="2">
        <v>17.98</v>
      </c>
      <c r="L856">
        <v>4</v>
      </c>
      <c r="M856" t="str">
        <f>IF(Table1[[#This Row],[Customer Rating]]&gt;=3,"Good","Average")</f>
        <v>Good</v>
      </c>
    </row>
    <row r="857" spans="1:13" x14ac:dyDescent="0.25">
      <c r="A857" t="s">
        <v>907</v>
      </c>
      <c r="B857" s="4">
        <v>45808</v>
      </c>
      <c r="C857" s="4" t="str">
        <f>TEXT(Table1[[#This Row],[Order Date]],"mmm")</f>
        <v>May</v>
      </c>
      <c r="D857" s="4" t="str">
        <f>TEXT(Table1[[#This Row],[Order Date]],"yyyy")</f>
        <v>2025</v>
      </c>
      <c r="E857" t="s">
        <v>32</v>
      </c>
      <c r="F857" t="s">
        <v>29</v>
      </c>
      <c r="G857" t="s">
        <v>26</v>
      </c>
      <c r="H857" t="s">
        <v>19</v>
      </c>
      <c r="I857">
        <v>2</v>
      </c>
      <c r="J857" s="2">
        <v>3.49</v>
      </c>
      <c r="K857" s="2">
        <v>6.98</v>
      </c>
      <c r="L857">
        <v>2</v>
      </c>
      <c r="M857" t="str">
        <f>IF(Table1[[#This Row],[Customer Rating]]&gt;=3,"Good","Average")</f>
        <v>Average</v>
      </c>
    </row>
    <row r="858" spans="1:13" x14ac:dyDescent="0.25">
      <c r="A858" t="s">
        <v>908</v>
      </c>
      <c r="B858" s="4">
        <v>45540</v>
      </c>
      <c r="C858" s="4" t="str">
        <f>TEXT(Table1[[#This Row],[Order Date]],"mmm")</f>
        <v>Sep</v>
      </c>
      <c r="D858" s="4" t="str">
        <f>TEXT(Table1[[#This Row],[Order Date]],"yyyy")</f>
        <v>2024</v>
      </c>
      <c r="E858" t="s">
        <v>97</v>
      </c>
      <c r="F858" t="s">
        <v>29</v>
      </c>
      <c r="G858" t="s">
        <v>57</v>
      </c>
      <c r="H858" t="s">
        <v>14</v>
      </c>
      <c r="I858">
        <v>1</v>
      </c>
      <c r="J858" s="2">
        <v>15.99</v>
      </c>
      <c r="K858" s="2">
        <v>15.99</v>
      </c>
      <c r="L858">
        <v>4</v>
      </c>
      <c r="M858" t="str">
        <f>IF(Table1[[#This Row],[Customer Rating]]&gt;=3,"Good","Average")</f>
        <v>Good</v>
      </c>
    </row>
    <row r="859" spans="1:13" x14ac:dyDescent="0.25">
      <c r="A859" t="s">
        <v>909</v>
      </c>
      <c r="B859" s="4">
        <v>46010</v>
      </c>
      <c r="C859" s="4" t="str">
        <f>TEXT(Table1[[#This Row],[Order Date]],"mmm")</f>
        <v>Dec</v>
      </c>
      <c r="D859" s="4" t="str">
        <f>TEXT(Table1[[#This Row],[Order Date]],"yyyy")</f>
        <v>2025</v>
      </c>
      <c r="E859" t="s">
        <v>16</v>
      </c>
      <c r="F859" t="s">
        <v>12</v>
      </c>
      <c r="G859" t="s">
        <v>55</v>
      </c>
      <c r="H859" t="s">
        <v>23</v>
      </c>
      <c r="I859">
        <v>1</v>
      </c>
      <c r="J859" s="2">
        <v>10.99</v>
      </c>
      <c r="K859" s="2">
        <v>10.99</v>
      </c>
      <c r="L859">
        <v>4</v>
      </c>
      <c r="M859" t="str">
        <f>IF(Table1[[#This Row],[Customer Rating]]&gt;=3,"Good","Average")</f>
        <v>Good</v>
      </c>
    </row>
    <row r="860" spans="1:13" x14ac:dyDescent="0.25">
      <c r="A860" t="s">
        <v>910</v>
      </c>
      <c r="B860" s="4">
        <v>45954</v>
      </c>
      <c r="C860" s="4" t="str">
        <f>TEXT(Table1[[#This Row],[Order Date]],"mmm")</f>
        <v>Oct</v>
      </c>
      <c r="D860" s="4" t="str">
        <f>TEXT(Table1[[#This Row],[Order Date]],"yyyy")</f>
        <v>2025</v>
      </c>
      <c r="E860" t="s">
        <v>34</v>
      </c>
      <c r="F860" t="s">
        <v>12</v>
      </c>
      <c r="G860" t="s">
        <v>57</v>
      </c>
      <c r="H860" t="s">
        <v>14</v>
      </c>
      <c r="I860">
        <v>1</v>
      </c>
      <c r="J860" s="2">
        <v>15.99</v>
      </c>
      <c r="K860" s="2">
        <v>15.99</v>
      </c>
      <c r="L860">
        <v>5</v>
      </c>
      <c r="M860" t="str">
        <f>IF(Table1[[#This Row],[Customer Rating]]&gt;=3,"Good","Average")</f>
        <v>Good</v>
      </c>
    </row>
    <row r="861" spans="1:13" x14ac:dyDescent="0.25">
      <c r="A861" t="s">
        <v>911</v>
      </c>
      <c r="B861" s="4">
        <v>45683</v>
      </c>
      <c r="C861" s="4" t="str">
        <f>TEXT(Table1[[#This Row],[Order Date]],"mmm")</f>
        <v>Jan</v>
      </c>
      <c r="D861" s="4" t="str">
        <f>TEXT(Table1[[#This Row],[Order Date]],"yyyy")</f>
        <v>2025</v>
      </c>
      <c r="E861" t="s">
        <v>25</v>
      </c>
      <c r="F861" t="s">
        <v>29</v>
      </c>
      <c r="G861" t="s">
        <v>74</v>
      </c>
      <c r="H861" t="s">
        <v>14</v>
      </c>
      <c r="I861">
        <v>1</v>
      </c>
      <c r="J861" s="2">
        <v>14.99</v>
      </c>
      <c r="K861" s="2">
        <v>14.99</v>
      </c>
      <c r="L861">
        <v>3</v>
      </c>
      <c r="M861" t="str">
        <f>IF(Table1[[#This Row],[Customer Rating]]&gt;=3,"Good","Average")</f>
        <v>Good</v>
      </c>
    </row>
    <row r="862" spans="1:13" x14ac:dyDescent="0.25">
      <c r="A862" t="s">
        <v>912</v>
      </c>
      <c r="B862" s="4">
        <v>45676</v>
      </c>
      <c r="C862" s="4" t="str">
        <f>TEXT(Table1[[#This Row],[Order Date]],"mmm")</f>
        <v>Jan</v>
      </c>
      <c r="D862" s="4" t="str">
        <f>TEXT(Table1[[#This Row],[Order Date]],"yyyy")</f>
        <v>2025</v>
      </c>
      <c r="E862" t="s">
        <v>28</v>
      </c>
      <c r="F862" t="s">
        <v>12</v>
      </c>
      <c r="G862" t="s">
        <v>57</v>
      </c>
      <c r="H862" t="s">
        <v>14</v>
      </c>
      <c r="I862">
        <v>4</v>
      </c>
      <c r="J862" s="2">
        <v>15.99</v>
      </c>
      <c r="K862" s="2">
        <v>63.96</v>
      </c>
      <c r="L862">
        <v>4</v>
      </c>
      <c r="M862" t="str">
        <f>IF(Table1[[#This Row],[Customer Rating]]&gt;=3,"Good","Average")</f>
        <v>Good</v>
      </c>
    </row>
    <row r="863" spans="1:13" x14ac:dyDescent="0.25">
      <c r="A863" t="s">
        <v>913</v>
      </c>
      <c r="B863" s="4">
        <v>45864</v>
      </c>
      <c r="C863" s="4" t="str">
        <f>TEXT(Table1[[#This Row],[Order Date]],"mmm")</f>
        <v>Jul</v>
      </c>
      <c r="D863" s="4" t="str">
        <f>TEXT(Table1[[#This Row],[Order Date]],"yyyy")</f>
        <v>2025</v>
      </c>
      <c r="E863" t="s">
        <v>16</v>
      </c>
      <c r="F863" t="s">
        <v>17</v>
      </c>
      <c r="G863" t="s">
        <v>18</v>
      </c>
      <c r="H863" t="s">
        <v>19</v>
      </c>
      <c r="I863">
        <v>1</v>
      </c>
      <c r="J863" s="2">
        <v>9.99</v>
      </c>
      <c r="K863" s="2">
        <v>9.99</v>
      </c>
      <c r="L863">
        <v>4</v>
      </c>
      <c r="M863" t="str">
        <f>IF(Table1[[#This Row],[Customer Rating]]&gt;=3,"Good","Average")</f>
        <v>Good</v>
      </c>
    </row>
    <row r="864" spans="1:13" x14ac:dyDescent="0.25">
      <c r="A864" t="s">
        <v>914</v>
      </c>
      <c r="B864" s="4">
        <v>45472</v>
      </c>
      <c r="C864" s="4" t="str">
        <f>TEXT(Table1[[#This Row],[Order Date]],"mmm")</f>
        <v>Jun</v>
      </c>
      <c r="D864" s="4" t="str">
        <f>TEXT(Table1[[#This Row],[Order Date]],"yyyy")</f>
        <v>2024</v>
      </c>
      <c r="E864" t="s">
        <v>11</v>
      </c>
      <c r="F864" t="s">
        <v>29</v>
      </c>
      <c r="G864" t="s">
        <v>39</v>
      </c>
      <c r="H864" t="s">
        <v>14</v>
      </c>
      <c r="I864">
        <v>3</v>
      </c>
      <c r="J864" s="2">
        <v>24.99</v>
      </c>
      <c r="K864" s="2">
        <v>74.97</v>
      </c>
      <c r="L864">
        <v>3</v>
      </c>
      <c r="M864" t="str">
        <f>IF(Table1[[#This Row],[Customer Rating]]&gt;=3,"Good","Average")</f>
        <v>Good</v>
      </c>
    </row>
    <row r="865" spans="1:13" x14ac:dyDescent="0.25">
      <c r="A865" t="s">
        <v>915</v>
      </c>
      <c r="B865" s="4">
        <v>45907</v>
      </c>
      <c r="C865" s="4" t="str">
        <f>TEXT(Table1[[#This Row],[Order Date]],"mmm")</f>
        <v>Sep</v>
      </c>
      <c r="D865" s="4" t="str">
        <f>TEXT(Table1[[#This Row],[Order Date]],"yyyy")</f>
        <v>2025</v>
      </c>
      <c r="E865" t="s">
        <v>34</v>
      </c>
      <c r="F865" t="s">
        <v>29</v>
      </c>
      <c r="G865" t="s">
        <v>74</v>
      </c>
      <c r="H865" t="s">
        <v>14</v>
      </c>
      <c r="I865">
        <v>2</v>
      </c>
      <c r="J865" s="2">
        <v>14.99</v>
      </c>
      <c r="K865" s="2">
        <v>29.98</v>
      </c>
      <c r="L865">
        <v>4</v>
      </c>
      <c r="M865" t="str">
        <f>IF(Table1[[#This Row],[Customer Rating]]&gt;=3,"Good","Average")</f>
        <v>Good</v>
      </c>
    </row>
    <row r="866" spans="1:13" x14ac:dyDescent="0.25">
      <c r="A866" t="s">
        <v>916</v>
      </c>
      <c r="B866" s="4">
        <v>45604</v>
      </c>
      <c r="C866" s="4" t="str">
        <f>TEXT(Table1[[#This Row],[Order Date]],"mmm")</f>
        <v>Nov</v>
      </c>
      <c r="D866" s="4" t="str">
        <f>TEXT(Table1[[#This Row],[Order Date]],"yyyy")</f>
        <v>2024</v>
      </c>
      <c r="E866" t="s">
        <v>11</v>
      </c>
      <c r="F866" t="s">
        <v>17</v>
      </c>
      <c r="G866" t="s">
        <v>13</v>
      </c>
      <c r="H866" t="s">
        <v>14</v>
      </c>
      <c r="I866">
        <v>1</v>
      </c>
      <c r="J866" s="2">
        <v>18.989999999999998</v>
      </c>
      <c r="K866" s="2">
        <v>18.989999999999998</v>
      </c>
      <c r="L866">
        <v>4</v>
      </c>
      <c r="M866" t="str">
        <f>IF(Table1[[#This Row],[Customer Rating]]&gt;=3,"Good","Average")</f>
        <v>Good</v>
      </c>
    </row>
    <row r="867" spans="1:13" x14ac:dyDescent="0.25">
      <c r="A867" t="s">
        <v>917</v>
      </c>
      <c r="B867" s="4">
        <v>45663</v>
      </c>
      <c r="C867" s="4" t="str">
        <f>TEXT(Table1[[#This Row],[Order Date]],"mmm")</f>
        <v>Jan</v>
      </c>
      <c r="D867" s="4" t="str">
        <f>TEXT(Table1[[#This Row],[Order Date]],"yyyy")</f>
        <v>2025</v>
      </c>
      <c r="E867" t="s">
        <v>38</v>
      </c>
      <c r="F867" t="s">
        <v>29</v>
      </c>
      <c r="G867" t="s">
        <v>18</v>
      </c>
      <c r="H867" t="s">
        <v>19</v>
      </c>
      <c r="I867">
        <v>2</v>
      </c>
      <c r="J867" s="2">
        <v>9.99</v>
      </c>
      <c r="K867" s="2">
        <v>19.98</v>
      </c>
      <c r="L867">
        <v>3</v>
      </c>
      <c r="M867" t="str">
        <f>IF(Table1[[#This Row],[Customer Rating]]&gt;=3,"Good","Average")</f>
        <v>Good</v>
      </c>
    </row>
    <row r="868" spans="1:13" x14ac:dyDescent="0.25">
      <c r="A868" t="s">
        <v>918</v>
      </c>
      <c r="B868" s="4">
        <v>45702</v>
      </c>
      <c r="C868" s="4" t="str">
        <f>TEXT(Table1[[#This Row],[Order Date]],"mmm")</f>
        <v>Feb</v>
      </c>
      <c r="D868" s="4" t="str">
        <f>TEXT(Table1[[#This Row],[Order Date]],"yyyy")</f>
        <v>2025</v>
      </c>
      <c r="E868" t="s">
        <v>45</v>
      </c>
      <c r="F868" t="s">
        <v>12</v>
      </c>
      <c r="G868" t="s">
        <v>74</v>
      </c>
      <c r="H868" t="s">
        <v>14</v>
      </c>
      <c r="I868">
        <v>1</v>
      </c>
      <c r="J868" s="2">
        <v>14.99</v>
      </c>
      <c r="K868" s="2">
        <v>14.99</v>
      </c>
      <c r="L868">
        <v>5</v>
      </c>
      <c r="M868" t="str">
        <f>IF(Table1[[#This Row],[Customer Rating]]&gt;=3,"Good","Average")</f>
        <v>Good</v>
      </c>
    </row>
    <row r="869" spans="1:13" x14ac:dyDescent="0.25">
      <c r="A869" t="s">
        <v>919</v>
      </c>
      <c r="B869" s="4">
        <v>45797</v>
      </c>
      <c r="C869" s="4" t="str">
        <f>TEXT(Table1[[#This Row],[Order Date]],"mmm")</f>
        <v>May</v>
      </c>
      <c r="D869" s="4" t="str">
        <f>TEXT(Table1[[#This Row],[Order Date]],"yyyy")</f>
        <v>2025</v>
      </c>
      <c r="E869" t="s">
        <v>32</v>
      </c>
      <c r="F869" t="s">
        <v>29</v>
      </c>
      <c r="G869" t="s">
        <v>57</v>
      </c>
      <c r="H869" t="s">
        <v>14</v>
      </c>
      <c r="I869">
        <v>2</v>
      </c>
      <c r="J869" s="2">
        <v>15.99</v>
      </c>
      <c r="K869" s="2">
        <v>31.98</v>
      </c>
      <c r="L869">
        <v>4</v>
      </c>
      <c r="M869" t="str">
        <f>IF(Table1[[#This Row],[Customer Rating]]&gt;=3,"Good","Average")</f>
        <v>Good</v>
      </c>
    </row>
    <row r="870" spans="1:13" x14ac:dyDescent="0.25">
      <c r="A870" t="s">
        <v>920</v>
      </c>
      <c r="B870" s="4">
        <v>45597</v>
      </c>
      <c r="C870" s="4" t="str">
        <f>TEXT(Table1[[#This Row],[Order Date]],"mmm")</f>
        <v>Nov</v>
      </c>
      <c r="D870" s="4" t="str">
        <f>TEXT(Table1[[#This Row],[Order Date]],"yyyy")</f>
        <v>2024</v>
      </c>
      <c r="E870" t="s">
        <v>16</v>
      </c>
      <c r="F870" t="s">
        <v>17</v>
      </c>
      <c r="G870" t="s">
        <v>52</v>
      </c>
      <c r="H870" t="s">
        <v>19</v>
      </c>
      <c r="I870">
        <v>1</v>
      </c>
      <c r="J870" s="2">
        <v>6.99</v>
      </c>
      <c r="K870" s="2">
        <v>6.99</v>
      </c>
      <c r="L870">
        <v>3</v>
      </c>
      <c r="M870" t="str">
        <f>IF(Table1[[#This Row],[Customer Rating]]&gt;=3,"Good","Average")</f>
        <v>Good</v>
      </c>
    </row>
    <row r="871" spans="1:13" x14ac:dyDescent="0.25">
      <c r="A871" t="s">
        <v>921</v>
      </c>
      <c r="B871" s="4">
        <v>45998</v>
      </c>
      <c r="C871" s="4" t="str">
        <f>TEXT(Table1[[#This Row],[Order Date]],"mmm")</f>
        <v>Dec</v>
      </c>
      <c r="D871" s="4" t="str">
        <f>TEXT(Table1[[#This Row],[Order Date]],"yyyy")</f>
        <v>2025</v>
      </c>
      <c r="E871" t="s">
        <v>16</v>
      </c>
      <c r="F871" t="s">
        <v>12</v>
      </c>
      <c r="G871" t="s">
        <v>13</v>
      </c>
      <c r="H871" t="s">
        <v>14</v>
      </c>
      <c r="I871">
        <v>2</v>
      </c>
      <c r="J871" s="2">
        <v>18.989999999999998</v>
      </c>
      <c r="K871" s="2">
        <v>37.979999999999997</v>
      </c>
      <c r="L871">
        <v>3</v>
      </c>
      <c r="M871" t="str">
        <f>IF(Table1[[#This Row],[Customer Rating]]&gt;=3,"Good","Average")</f>
        <v>Good</v>
      </c>
    </row>
    <row r="872" spans="1:13" x14ac:dyDescent="0.25">
      <c r="A872" t="s">
        <v>922</v>
      </c>
      <c r="B872" s="4">
        <v>45959</v>
      </c>
      <c r="C872" s="4" t="str">
        <f>TEXT(Table1[[#This Row],[Order Date]],"mmm")</f>
        <v>Oct</v>
      </c>
      <c r="D872" s="4" t="str">
        <f>TEXT(Table1[[#This Row],[Order Date]],"yyyy")</f>
        <v>2025</v>
      </c>
      <c r="E872" t="s">
        <v>34</v>
      </c>
      <c r="F872" t="s">
        <v>12</v>
      </c>
      <c r="G872" t="s">
        <v>36</v>
      </c>
      <c r="H872" t="s">
        <v>14</v>
      </c>
      <c r="I872">
        <v>1</v>
      </c>
      <c r="J872" s="2">
        <v>16.989999999999998</v>
      </c>
      <c r="K872" s="2">
        <v>16.989999999999998</v>
      </c>
      <c r="L872">
        <v>4</v>
      </c>
      <c r="M872" t="str">
        <f>IF(Table1[[#This Row],[Customer Rating]]&gt;=3,"Good","Average")</f>
        <v>Good</v>
      </c>
    </row>
    <row r="873" spans="1:13" x14ac:dyDescent="0.25">
      <c r="A873" t="s">
        <v>923</v>
      </c>
      <c r="B873" s="4">
        <v>45647</v>
      </c>
      <c r="C873" s="4" t="str">
        <f>TEXT(Table1[[#This Row],[Order Date]],"mmm")</f>
        <v>Dec</v>
      </c>
      <c r="D873" s="4" t="str">
        <f>TEXT(Table1[[#This Row],[Order Date]],"yyyy")</f>
        <v>2024</v>
      </c>
      <c r="E873" t="s">
        <v>28</v>
      </c>
      <c r="F873" t="s">
        <v>12</v>
      </c>
      <c r="G873" t="s">
        <v>142</v>
      </c>
      <c r="H873" t="s">
        <v>23</v>
      </c>
      <c r="I873">
        <v>2</v>
      </c>
      <c r="J873" s="2">
        <v>14.99</v>
      </c>
      <c r="K873" s="2">
        <v>29.98</v>
      </c>
      <c r="L873">
        <v>4</v>
      </c>
      <c r="M873" t="str">
        <f>IF(Table1[[#This Row],[Customer Rating]]&gt;=3,"Good","Average")</f>
        <v>Good</v>
      </c>
    </row>
    <row r="874" spans="1:13" x14ac:dyDescent="0.25">
      <c r="A874" t="s">
        <v>924</v>
      </c>
      <c r="B874" s="4">
        <v>45843</v>
      </c>
      <c r="C874" s="4" t="str">
        <f>TEXT(Table1[[#This Row],[Order Date]],"mmm")</f>
        <v>Jul</v>
      </c>
      <c r="D874" s="4" t="str">
        <f>TEXT(Table1[[#This Row],[Order Date]],"yyyy")</f>
        <v>2025</v>
      </c>
      <c r="E874" t="s">
        <v>97</v>
      </c>
      <c r="F874" t="s">
        <v>12</v>
      </c>
      <c r="G874" t="s">
        <v>62</v>
      </c>
      <c r="H874" t="s">
        <v>23</v>
      </c>
      <c r="I874">
        <v>2</v>
      </c>
      <c r="J874" s="2">
        <v>9.99</v>
      </c>
      <c r="K874" s="2">
        <v>19.98</v>
      </c>
      <c r="L874">
        <v>5</v>
      </c>
      <c r="M874" t="str">
        <f>IF(Table1[[#This Row],[Customer Rating]]&gt;=3,"Good","Average")</f>
        <v>Good</v>
      </c>
    </row>
    <row r="875" spans="1:13" x14ac:dyDescent="0.25">
      <c r="A875" t="s">
        <v>925</v>
      </c>
      <c r="B875" s="4">
        <v>45824</v>
      </c>
      <c r="C875" s="4" t="str">
        <f>TEXT(Table1[[#This Row],[Order Date]],"mmm")</f>
        <v>Jun</v>
      </c>
      <c r="D875" s="4" t="str">
        <f>TEXT(Table1[[#This Row],[Order Date]],"yyyy")</f>
        <v>2025</v>
      </c>
      <c r="E875" t="s">
        <v>28</v>
      </c>
      <c r="F875" t="s">
        <v>29</v>
      </c>
      <c r="G875" t="s">
        <v>30</v>
      </c>
      <c r="H875" t="s">
        <v>19</v>
      </c>
      <c r="I875">
        <v>1</v>
      </c>
      <c r="J875" s="2">
        <v>7.99</v>
      </c>
      <c r="K875" s="2">
        <v>7.99</v>
      </c>
      <c r="L875">
        <v>3</v>
      </c>
      <c r="M875" t="str">
        <f>IF(Table1[[#This Row],[Customer Rating]]&gt;=3,"Good","Average")</f>
        <v>Good</v>
      </c>
    </row>
    <row r="876" spans="1:13" x14ac:dyDescent="0.25">
      <c r="A876" t="s">
        <v>926</v>
      </c>
      <c r="B876" s="4">
        <v>45543</v>
      </c>
      <c r="C876" s="4" t="str">
        <f>TEXT(Table1[[#This Row],[Order Date]],"mmm")</f>
        <v>Sep</v>
      </c>
      <c r="D876" s="4" t="str">
        <f>TEXT(Table1[[#This Row],[Order Date]],"yyyy")</f>
        <v>2024</v>
      </c>
      <c r="E876" t="s">
        <v>28</v>
      </c>
      <c r="F876" t="s">
        <v>17</v>
      </c>
      <c r="G876" t="s">
        <v>13</v>
      </c>
      <c r="H876" t="s">
        <v>14</v>
      </c>
      <c r="I876">
        <v>3</v>
      </c>
      <c r="J876" s="2">
        <v>18.989999999999998</v>
      </c>
      <c r="K876" s="2">
        <v>56.97</v>
      </c>
      <c r="L876">
        <v>4</v>
      </c>
      <c r="M876" t="str">
        <f>IF(Table1[[#This Row],[Customer Rating]]&gt;=3,"Good","Average")</f>
        <v>Good</v>
      </c>
    </row>
    <row r="877" spans="1:13" x14ac:dyDescent="0.25">
      <c r="A877" t="s">
        <v>927</v>
      </c>
      <c r="B877" s="4">
        <v>45515</v>
      </c>
      <c r="C877" s="4" t="str">
        <f>TEXT(Table1[[#This Row],[Order Date]],"mmm")</f>
        <v>Aug</v>
      </c>
      <c r="D877" s="4" t="str">
        <f>TEXT(Table1[[#This Row],[Order Date]],"yyyy")</f>
        <v>2024</v>
      </c>
      <c r="E877" t="s">
        <v>45</v>
      </c>
      <c r="F877" t="s">
        <v>29</v>
      </c>
      <c r="G877" t="s">
        <v>13</v>
      </c>
      <c r="H877" t="s">
        <v>14</v>
      </c>
      <c r="I877">
        <v>1</v>
      </c>
      <c r="J877" s="2">
        <v>18.989999999999998</v>
      </c>
      <c r="K877" s="2">
        <v>18.989999999999998</v>
      </c>
      <c r="L877">
        <v>5</v>
      </c>
      <c r="M877" t="str">
        <f>IF(Table1[[#This Row],[Customer Rating]]&gt;=3,"Good","Average")</f>
        <v>Good</v>
      </c>
    </row>
    <row r="878" spans="1:13" x14ac:dyDescent="0.25">
      <c r="A878" t="s">
        <v>928</v>
      </c>
      <c r="B878" s="4">
        <v>45581</v>
      </c>
      <c r="C878" s="4" t="str">
        <f>TEXT(Table1[[#This Row],[Order Date]],"mmm")</f>
        <v>Oct</v>
      </c>
      <c r="D878" s="4" t="str">
        <f>TEXT(Table1[[#This Row],[Order Date]],"yyyy")</f>
        <v>2024</v>
      </c>
      <c r="E878" t="s">
        <v>21</v>
      </c>
      <c r="F878" t="s">
        <v>12</v>
      </c>
      <c r="G878" t="s">
        <v>50</v>
      </c>
      <c r="H878" t="s">
        <v>14</v>
      </c>
      <c r="I878">
        <v>3</v>
      </c>
      <c r="J878" s="2">
        <v>22.99</v>
      </c>
      <c r="K878" s="2">
        <v>68.97</v>
      </c>
      <c r="L878">
        <v>5</v>
      </c>
      <c r="M878" t="str">
        <f>IF(Table1[[#This Row],[Customer Rating]]&gt;=3,"Good","Average")</f>
        <v>Good</v>
      </c>
    </row>
    <row r="879" spans="1:13" x14ac:dyDescent="0.25">
      <c r="A879" t="s">
        <v>929</v>
      </c>
      <c r="B879" s="4">
        <v>45670</v>
      </c>
      <c r="C879" s="4" t="str">
        <f>TEXT(Table1[[#This Row],[Order Date]],"mmm")</f>
        <v>Jan</v>
      </c>
      <c r="D879" s="4" t="str">
        <f>TEXT(Table1[[#This Row],[Order Date]],"yyyy")</f>
        <v>2025</v>
      </c>
      <c r="E879" t="s">
        <v>32</v>
      </c>
      <c r="F879" t="s">
        <v>12</v>
      </c>
      <c r="G879" t="s">
        <v>119</v>
      </c>
      <c r="H879" t="s">
        <v>19</v>
      </c>
      <c r="I879">
        <v>2</v>
      </c>
      <c r="J879" s="2">
        <v>4.99</v>
      </c>
      <c r="K879" s="2">
        <v>9.98</v>
      </c>
      <c r="L879">
        <v>2</v>
      </c>
      <c r="M879" t="str">
        <f>IF(Table1[[#This Row],[Customer Rating]]&gt;=3,"Good","Average")</f>
        <v>Average</v>
      </c>
    </row>
    <row r="880" spans="1:13" x14ac:dyDescent="0.25">
      <c r="A880" t="s">
        <v>930</v>
      </c>
      <c r="B880" s="4">
        <v>45592</v>
      </c>
      <c r="C880" s="4" t="str">
        <f>TEXT(Table1[[#This Row],[Order Date]],"mmm")</f>
        <v>Oct</v>
      </c>
      <c r="D880" s="4" t="str">
        <f>TEXT(Table1[[#This Row],[Order Date]],"yyyy")</f>
        <v>2024</v>
      </c>
      <c r="E880" t="s">
        <v>97</v>
      </c>
      <c r="F880" t="s">
        <v>29</v>
      </c>
      <c r="G880" t="s">
        <v>119</v>
      </c>
      <c r="H880" t="s">
        <v>19</v>
      </c>
      <c r="I880">
        <v>2</v>
      </c>
      <c r="J880" s="2">
        <v>4.99</v>
      </c>
      <c r="K880" s="2">
        <v>9.98</v>
      </c>
      <c r="L880">
        <v>4</v>
      </c>
      <c r="M880" t="str">
        <f>IF(Table1[[#This Row],[Customer Rating]]&gt;=3,"Good","Average")</f>
        <v>Good</v>
      </c>
    </row>
    <row r="881" spans="1:13" x14ac:dyDescent="0.25">
      <c r="A881" t="s">
        <v>931</v>
      </c>
      <c r="B881" s="4">
        <v>45371</v>
      </c>
      <c r="C881" s="4" t="str">
        <f>TEXT(Table1[[#This Row],[Order Date]],"mmm")</f>
        <v>Mar</v>
      </c>
      <c r="D881" s="4" t="str">
        <f>TEXT(Table1[[#This Row],[Order Date]],"yyyy")</f>
        <v>2024</v>
      </c>
      <c r="E881" t="s">
        <v>34</v>
      </c>
      <c r="F881" t="s">
        <v>29</v>
      </c>
      <c r="G881" t="s">
        <v>43</v>
      </c>
      <c r="H881" t="s">
        <v>23</v>
      </c>
      <c r="I881">
        <v>2</v>
      </c>
      <c r="J881" s="2">
        <v>11.99</v>
      </c>
      <c r="K881" s="2">
        <v>23.98</v>
      </c>
      <c r="L881">
        <v>4</v>
      </c>
      <c r="M881" t="str">
        <f>IF(Table1[[#This Row],[Customer Rating]]&gt;=3,"Good","Average")</f>
        <v>Good</v>
      </c>
    </row>
    <row r="882" spans="1:13" x14ac:dyDescent="0.25">
      <c r="A882" t="s">
        <v>932</v>
      </c>
      <c r="B882" s="4">
        <v>45941</v>
      </c>
      <c r="C882" s="4" t="str">
        <f>TEXT(Table1[[#This Row],[Order Date]],"mmm")</f>
        <v>Oct</v>
      </c>
      <c r="D882" s="4" t="str">
        <f>TEXT(Table1[[#This Row],[Order Date]],"yyyy")</f>
        <v>2025</v>
      </c>
      <c r="E882" t="s">
        <v>28</v>
      </c>
      <c r="F882" t="s">
        <v>29</v>
      </c>
      <c r="G882" t="s">
        <v>22</v>
      </c>
      <c r="H882" t="s">
        <v>23</v>
      </c>
      <c r="I882">
        <v>1</v>
      </c>
      <c r="J882" s="2">
        <v>8.99</v>
      </c>
      <c r="K882" s="2">
        <v>8.99</v>
      </c>
      <c r="L882">
        <v>4</v>
      </c>
      <c r="M882" t="str">
        <f>IF(Table1[[#This Row],[Customer Rating]]&gt;=3,"Good","Average")</f>
        <v>Good</v>
      </c>
    </row>
    <row r="883" spans="1:13" x14ac:dyDescent="0.25">
      <c r="A883" t="s">
        <v>933</v>
      </c>
      <c r="B883" s="4">
        <v>45767</v>
      </c>
      <c r="C883" s="4" t="str">
        <f>TEXT(Table1[[#This Row],[Order Date]],"mmm")</f>
        <v>Apr</v>
      </c>
      <c r="D883" s="4" t="str">
        <f>TEXT(Table1[[#This Row],[Order Date]],"yyyy")</f>
        <v>2025</v>
      </c>
      <c r="E883" t="s">
        <v>11</v>
      </c>
      <c r="F883" t="s">
        <v>12</v>
      </c>
      <c r="G883" t="s">
        <v>36</v>
      </c>
      <c r="H883" t="s">
        <v>14</v>
      </c>
      <c r="I883">
        <v>2</v>
      </c>
      <c r="J883" s="2">
        <v>16.989999999999998</v>
      </c>
      <c r="K883" s="2">
        <v>33.979999999999997</v>
      </c>
      <c r="L883">
        <v>5</v>
      </c>
      <c r="M883" t="str">
        <f>IF(Table1[[#This Row],[Customer Rating]]&gt;=3,"Good","Average")</f>
        <v>Good</v>
      </c>
    </row>
    <row r="884" spans="1:13" x14ac:dyDescent="0.25">
      <c r="A884" t="s">
        <v>934</v>
      </c>
      <c r="B884" s="4">
        <v>45445</v>
      </c>
      <c r="C884" s="4" t="str">
        <f>TEXT(Table1[[#This Row],[Order Date]],"mmm")</f>
        <v>Jun</v>
      </c>
      <c r="D884" s="4" t="str">
        <f>TEXT(Table1[[#This Row],[Order Date]],"yyyy")</f>
        <v>2024</v>
      </c>
      <c r="E884" t="s">
        <v>25</v>
      </c>
      <c r="F884" t="s">
        <v>29</v>
      </c>
      <c r="G884" t="s">
        <v>55</v>
      </c>
      <c r="H884" t="s">
        <v>23</v>
      </c>
      <c r="I884">
        <v>4</v>
      </c>
      <c r="J884" s="2">
        <v>10.99</v>
      </c>
      <c r="K884" s="2">
        <v>43.96</v>
      </c>
      <c r="L884">
        <v>4</v>
      </c>
      <c r="M884" t="str">
        <f>IF(Table1[[#This Row],[Customer Rating]]&gt;=3,"Good","Average")</f>
        <v>Good</v>
      </c>
    </row>
    <row r="885" spans="1:13" x14ac:dyDescent="0.25">
      <c r="A885" t="s">
        <v>935</v>
      </c>
      <c r="B885" s="4">
        <v>45913</v>
      </c>
      <c r="C885" s="4" t="str">
        <f>TEXT(Table1[[#This Row],[Order Date]],"mmm")</f>
        <v>Sep</v>
      </c>
      <c r="D885" s="4" t="str">
        <f>TEXT(Table1[[#This Row],[Order Date]],"yyyy")</f>
        <v>2025</v>
      </c>
      <c r="E885" t="s">
        <v>97</v>
      </c>
      <c r="F885" t="s">
        <v>17</v>
      </c>
      <c r="G885" t="s">
        <v>46</v>
      </c>
      <c r="H885" t="s">
        <v>14</v>
      </c>
      <c r="I885">
        <v>3</v>
      </c>
      <c r="J885" s="2">
        <v>32.99</v>
      </c>
      <c r="K885" s="2">
        <v>98.97</v>
      </c>
      <c r="L885">
        <v>3</v>
      </c>
      <c r="M885" t="str">
        <f>IF(Table1[[#This Row],[Customer Rating]]&gt;=3,"Good","Average")</f>
        <v>Good</v>
      </c>
    </row>
    <row r="886" spans="1:13" x14ac:dyDescent="0.25">
      <c r="A886" t="s">
        <v>936</v>
      </c>
      <c r="B886" s="4">
        <v>45638</v>
      </c>
      <c r="C886" s="4" t="str">
        <f>TEXT(Table1[[#This Row],[Order Date]],"mmm")</f>
        <v>Dec</v>
      </c>
      <c r="D886" s="4" t="str">
        <f>TEXT(Table1[[#This Row],[Order Date]],"yyyy")</f>
        <v>2024</v>
      </c>
      <c r="E886" t="s">
        <v>97</v>
      </c>
      <c r="F886" t="s">
        <v>17</v>
      </c>
      <c r="G886" t="s">
        <v>50</v>
      </c>
      <c r="H886" t="s">
        <v>14</v>
      </c>
      <c r="I886">
        <v>1</v>
      </c>
      <c r="J886" s="2">
        <v>22.99</v>
      </c>
      <c r="K886" s="2">
        <v>22.99</v>
      </c>
      <c r="L886">
        <v>5</v>
      </c>
      <c r="M886" t="str">
        <f>IF(Table1[[#This Row],[Customer Rating]]&gt;=3,"Good","Average")</f>
        <v>Good</v>
      </c>
    </row>
    <row r="887" spans="1:13" x14ac:dyDescent="0.25">
      <c r="A887" t="s">
        <v>937</v>
      </c>
      <c r="B887" s="4">
        <v>45310</v>
      </c>
      <c r="C887" s="4" t="str">
        <f>TEXT(Table1[[#This Row],[Order Date]],"mmm")</f>
        <v>Jan</v>
      </c>
      <c r="D887" s="4" t="str">
        <f>TEXT(Table1[[#This Row],[Order Date]],"yyyy")</f>
        <v>2024</v>
      </c>
      <c r="E887" t="s">
        <v>32</v>
      </c>
      <c r="F887" t="s">
        <v>29</v>
      </c>
      <c r="G887" t="s">
        <v>22</v>
      </c>
      <c r="H887" t="s">
        <v>23</v>
      </c>
      <c r="I887">
        <v>2</v>
      </c>
      <c r="J887" s="2">
        <v>8.99</v>
      </c>
      <c r="K887" s="2">
        <v>17.98</v>
      </c>
      <c r="L887">
        <v>2</v>
      </c>
      <c r="M887" t="str">
        <f>IF(Table1[[#This Row],[Customer Rating]]&gt;=3,"Good","Average")</f>
        <v>Average</v>
      </c>
    </row>
    <row r="888" spans="1:13" x14ac:dyDescent="0.25">
      <c r="A888" t="s">
        <v>938</v>
      </c>
      <c r="B888" s="4">
        <v>45637</v>
      </c>
      <c r="C888" s="4" t="str">
        <f>TEXT(Table1[[#This Row],[Order Date]],"mmm")</f>
        <v>Dec</v>
      </c>
      <c r="D888" s="4" t="str">
        <f>TEXT(Table1[[#This Row],[Order Date]],"yyyy")</f>
        <v>2024</v>
      </c>
      <c r="E888" t="s">
        <v>97</v>
      </c>
      <c r="F888" t="s">
        <v>29</v>
      </c>
      <c r="G888" t="s">
        <v>62</v>
      </c>
      <c r="H888" t="s">
        <v>23</v>
      </c>
      <c r="I888">
        <v>1</v>
      </c>
      <c r="J888" s="2">
        <v>9.99</v>
      </c>
      <c r="K888" s="2">
        <v>9.99</v>
      </c>
      <c r="L888">
        <v>5</v>
      </c>
      <c r="M888" t="str">
        <f>IF(Table1[[#This Row],[Customer Rating]]&gt;=3,"Good","Average")</f>
        <v>Good</v>
      </c>
    </row>
    <row r="889" spans="1:13" x14ac:dyDescent="0.25">
      <c r="A889" t="s">
        <v>939</v>
      </c>
      <c r="B889" s="4">
        <v>45805</v>
      </c>
      <c r="C889" s="4" t="str">
        <f>TEXT(Table1[[#This Row],[Order Date]],"mmm")</f>
        <v>May</v>
      </c>
      <c r="D889" s="4" t="str">
        <f>TEXT(Table1[[#This Row],[Order Date]],"yyyy")</f>
        <v>2025</v>
      </c>
      <c r="E889" t="s">
        <v>38</v>
      </c>
      <c r="F889" t="s">
        <v>29</v>
      </c>
      <c r="G889" t="s">
        <v>142</v>
      </c>
      <c r="H889" t="s">
        <v>23</v>
      </c>
      <c r="I889">
        <v>1</v>
      </c>
      <c r="J889" s="2">
        <v>14.99</v>
      </c>
      <c r="K889" s="2">
        <v>14.99</v>
      </c>
      <c r="L889">
        <v>5</v>
      </c>
      <c r="M889" t="str">
        <f>IF(Table1[[#This Row],[Customer Rating]]&gt;=3,"Good","Average")</f>
        <v>Good</v>
      </c>
    </row>
    <row r="890" spans="1:13" x14ac:dyDescent="0.25">
      <c r="A890" t="s">
        <v>940</v>
      </c>
      <c r="B890" s="4">
        <v>45897</v>
      </c>
      <c r="C890" s="4" t="str">
        <f>TEXT(Table1[[#This Row],[Order Date]],"mmm")</f>
        <v>Aug</v>
      </c>
      <c r="D890" s="4" t="str">
        <f>TEXT(Table1[[#This Row],[Order Date]],"yyyy")</f>
        <v>2025</v>
      </c>
      <c r="E890" t="s">
        <v>11</v>
      </c>
      <c r="F890" t="s">
        <v>29</v>
      </c>
      <c r="G890" t="s">
        <v>50</v>
      </c>
      <c r="H890" t="s">
        <v>14</v>
      </c>
      <c r="I890">
        <v>1</v>
      </c>
      <c r="J890" s="2">
        <v>22.99</v>
      </c>
      <c r="K890" s="2">
        <v>22.99</v>
      </c>
      <c r="L890">
        <v>3</v>
      </c>
      <c r="M890" t="str">
        <f>IF(Table1[[#This Row],[Customer Rating]]&gt;=3,"Good","Average")</f>
        <v>Good</v>
      </c>
    </row>
    <row r="891" spans="1:13" x14ac:dyDescent="0.25">
      <c r="A891" t="s">
        <v>941</v>
      </c>
      <c r="B891" s="4">
        <v>45360</v>
      </c>
      <c r="C891" s="4" t="str">
        <f>TEXT(Table1[[#This Row],[Order Date]],"mmm")</f>
        <v>Mar</v>
      </c>
      <c r="D891" s="4" t="str">
        <f>TEXT(Table1[[#This Row],[Order Date]],"yyyy")</f>
        <v>2024</v>
      </c>
      <c r="E891" t="s">
        <v>32</v>
      </c>
      <c r="F891" t="s">
        <v>12</v>
      </c>
      <c r="G891" t="s">
        <v>83</v>
      </c>
      <c r="H891" t="s">
        <v>14</v>
      </c>
      <c r="I891">
        <v>1</v>
      </c>
      <c r="J891" s="2">
        <v>17.989999999999998</v>
      </c>
      <c r="K891" s="2">
        <v>17.989999999999998</v>
      </c>
      <c r="L891">
        <v>2</v>
      </c>
      <c r="M891" t="str">
        <f>IF(Table1[[#This Row],[Customer Rating]]&gt;=3,"Good","Average")</f>
        <v>Average</v>
      </c>
    </row>
    <row r="892" spans="1:13" x14ac:dyDescent="0.25">
      <c r="A892" t="s">
        <v>942</v>
      </c>
      <c r="B892" s="4">
        <v>45662</v>
      </c>
      <c r="C892" s="4" t="str">
        <f>TEXT(Table1[[#This Row],[Order Date]],"mmm")</f>
        <v>Jan</v>
      </c>
      <c r="D892" s="4" t="str">
        <f>TEXT(Table1[[#This Row],[Order Date]],"yyyy")</f>
        <v>2025</v>
      </c>
      <c r="E892" t="s">
        <v>28</v>
      </c>
      <c r="F892" t="s">
        <v>29</v>
      </c>
      <c r="G892" t="s">
        <v>26</v>
      </c>
      <c r="H892" t="s">
        <v>19</v>
      </c>
      <c r="I892">
        <v>1</v>
      </c>
      <c r="J892" s="2">
        <v>3.49</v>
      </c>
      <c r="K892" s="2">
        <v>3.49</v>
      </c>
      <c r="L892">
        <v>4</v>
      </c>
      <c r="M892" t="str">
        <f>IF(Table1[[#This Row],[Customer Rating]]&gt;=3,"Good","Average")</f>
        <v>Good</v>
      </c>
    </row>
    <row r="893" spans="1:13" x14ac:dyDescent="0.25">
      <c r="A893" t="s">
        <v>943</v>
      </c>
      <c r="B893" s="4">
        <v>45513</v>
      </c>
      <c r="C893" s="4" t="str">
        <f>TEXT(Table1[[#This Row],[Order Date]],"mmm")</f>
        <v>Aug</v>
      </c>
      <c r="D893" s="4" t="str">
        <f>TEXT(Table1[[#This Row],[Order Date]],"yyyy")</f>
        <v>2024</v>
      </c>
      <c r="E893" t="s">
        <v>45</v>
      </c>
      <c r="F893" t="s">
        <v>12</v>
      </c>
      <c r="G893" t="s">
        <v>221</v>
      </c>
      <c r="H893" t="s">
        <v>67</v>
      </c>
      <c r="I893">
        <v>3</v>
      </c>
      <c r="J893" s="2">
        <v>9.99</v>
      </c>
      <c r="K893" s="2">
        <v>29.97</v>
      </c>
      <c r="L893">
        <v>5</v>
      </c>
      <c r="M893" t="str">
        <f>IF(Table1[[#This Row],[Customer Rating]]&gt;=3,"Good","Average")</f>
        <v>Good</v>
      </c>
    </row>
    <row r="894" spans="1:13" x14ac:dyDescent="0.25">
      <c r="A894" t="s">
        <v>944</v>
      </c>
      <c r="B894" s="4">
        <v>45955</v>
      </c>
      <c r="C894" s="4" t="str">
        <f>TEXT(Table1[[#This Row],[Order Date]],"mmm")</f>
        <v>Oct</v>
      </c>
      <c r="D894" s="4" t="str">
        <f>TEXT(Table1[[#This Row],[Order Date]],"yyyy")</f>
        <v>2025</v>
      </c>
      <c r="E894" t="s">
        <v>97</v>
      </c>
      <c r="F894" t="s">
        <v>29</v>
      </c>
      <c r="G894" t="s">
        <v>62</v>
      </c>
      <c r="H894" t="s">
        <v>23</v>
      </c>
      <c r="I894">
        <v>2</v>
      </c>
      <c r="J894" s="2">
        <v>9.99</v>
      </c>
      <c r="K894" s="2">
        <v>19.98</v>
      </c>
      <c r="L894">
        <v>3</v>
      </c>
      <c r="M894" t="str">
        <f>IF(Table1[[#This Row],[Customer Rating]]&gt;=3,"Good","Average")</f>
        <v>Good</v>
      </c>
    </row>
    <row r="895" spans="1:13" x14ac:dyDescent="0.25">
      <c r="A895" t="s">
        <v>945</v>
      </c>
      <c r="B895" s="4">
        <v>45806</v>
      </c>
      <c r="C895" s="4" t="str">
        <f>TEXT(Table1[[#This Row],[Order Date]],"mmm")</f>
        <v>May</v>
      </c>
      <c r="D895" s="4" t="str">
        <f>TEXT(Table1[[#This Row],[Order Date]],"yyyy")</f>
        <v>2025</v>
      </c>
      <c r="E895" t="s">
        <v>32</v>
      </c>
      <c r="F895" t="s">
        <v>12</v>
      </c>
      <c r="G895" t="s">
        <v>36</v>
      </c>
      <c r="H895" t="s">
        <v>14</v>
      </c>
      <c r="I895">
        <v>1</v>
      </c>
      <c r="J895" s="2">
        <v>16.989999999999998</v>
      </c>
      <c r="K895" s="2">
        <v>16.989999999999998</v>
      </c>
      <c r="L895">
        <v>2</v>
      </c>
      <c r="M895" t="str">
        <f>IF(Table1[[#This Row],[Customer Rating]]&gt;=3,"Good","Average")</f>
        <v>Average</v>
      </c>
    </row>
    <row r="896" spans="1:13" x14ac:dyDescent="0.25">
      <c r="A896" t="s">
        <v>946</v>
      </c>
      <c r="B896" s="4">
        <v>45409</v>
      </c>
      <c r="C896" s="4" t="str">
        <f>TEXT(Table1[[#This Row],[Order Date]],"mmm")</f>
        <v>Apr</v>
      </c>
      <c r="D896" s="4" t="str">
        <f>TEXT(Table1[[#This Row],[Order Date]],"yyyy")</f>
        <v>2024</v>
      </c>
      <c r="E896" t="s">
        <v>21</v>
      </c>
      <c r="F896" t="s">
        <v>17</v>
      </c>
      <c r="G896" t="s">
        <v>57</v>
      </c>
      <c r="H896" t="s">
        <v>14</v>
      </c>
      <c r="I896">
        <v>1</v>
      </c>
      <c r="J896" s="2">
        <v>15.99</v>
      </c>
      <c r="K896" s="2">
        <v>15.99</v>
      </c>
      <c r="L896">
        <v>4</v>
      </c>
      <c r="M896" t="str">
        <f>IF(Table1[[#This Row],[Customer Rating]]&gt;=3,"Good","Average")</f>
        <v>Good</v>
      </c>
    </row>
    <row r="897" spans="1:13" x14ac:dyDescent="0.25">
      <c r="A897" t="s">
        <v>947</v>
      </c>
      <c r="B897" s="4">
        <v>45498</v>
      </c>
      <c r="C897" s="4" t="str">
        <f>TEXT(Table1[[#This Row],[Order Date]],"mmm")</f>
        <v>Jul</v>
      </c>
      <c r="D897" s="4" t="str">
        <f>TEXT(Table1[[#This Row],[Order Date]],"yyyy")</f>
        <v>2024</v>
      </c>
      <c r="E897" t="s">
        <v>38</v>
      </c>
      <c r="F897" t="s">
        <v>12</v>
      </c>
      <c r="G897" t="s">
        <v>74</v>
      </c>
      <c r="H897" t="s">
        <v>14</v>
      </c>
      <c r="I897">
        <v>1</v>
      </c>
      <c r="J897" s="2">
        <v>14.99</v>
      </c>
      <c r="K897" s="2">
        <v>14.99</v>
      </c>
      <c r="L897">
        <v>5</v>
      </c>
      <c r="M897" t="str">
        <f>IF(Table1[[#This Row],[Customer Rating]]&gt;=3,"Good","Average")</f>
        <v>Good</v>
      </c>
    </row>
    <row r="898" spans="1:13" x14ac:dyDescent="0.25">
      <c r="A898" t="s">
        <v>948</v>
      </c>
      <c r="B898" s="4">
        <v>45447</v>
      </c>
      <c r="C898" s="4" t="str">
        <f>TEXT(Table1[[#This Row],[Order Date]],"mmm")</f>
        <v>Jun</v>
      </c>
      <c r="D898" s="4" t="str">
        <f>TEXT(Table1[[#This Row],[Order Date]],"yyyy")</f>
        <v>2024</v>
      </c>
      <c r="E898" t="s">
        <v>97</v>
      </c>
      <c r="F898" t="s">
        <v>17</v>
      </c>
      <c r="G898" t="s">
        <v>74</v>
      </c>
      <c r="H898" t="s">
        <v>14</v>
      </c>
      <c r="I898">
        <v>1</v>
      </c>
      <c r="J898" s="2">
        <v>14.99</v>
      </c>
      <c r="K898" s="2">
        <v>14.99</v>
      </c>
      <c r="L898">
        <v>2</v>
      </c>
      <c r="M898" t="str">
        <f>IF(Table1[[#This Row],[Customer Rating]]&gt;=3,"Good","Average")</f>
        <v>Average</v>
      </c>
    </row>
    <row r="899" spans="1:13" x14ac:dyDescent="0.25">
      <c r="A899" t="s">
        <v>949</v>
      </c>
      <c r="B899" s="4">
        <v>45459</v>
      </c>
      <c r="C899" s="4" t="str">
        <f>TEXT(Table1[[#This Row],[Order Date]],"mmm")</f>
        <v>Jun</v>
      </c>
      <c r="D899" s="4" t="str">
        <f>TEXT(Table1[[#This Row],[Order Date]],"yyyy")</f>
        <v>2024</v>
      </c>
      <c r="E899" t="s">
        <v>16</v>
      </c>
      <c r="F899" t="s">
        <v>29</v>
      </c>
      <c r="G899" t="s">
        <v>50</v>
      </c>
      <c r="H899" t="s">
        <v>14</v>
      </c>
      <c r="I899">
        <v>2</v>
      </c>
      <c r="J899" s="2">
        <v>22.99</v>
      </c>
      <c r="K899" s="2">
        <v>45.98</v>
      </c>
      <c r="L899">
        <v>4</v>
      </c>
      <c r="M899" t="str">
        <f>IF(Table1[[#This Row],[Customer Rating]]&gt;=3,"Good","Average")</f>
        <v>Good</v>
      </c>
    </row>
    <row r="900" spans="1:13" x14ac:dyDescent="0.25">
      <c r="A900" t="s">
        <v>950</v>
      </c>
      <c r="B900" s="4">
        <v>45319</v>
      </c>
      <c r="C900" s="4" t="str">
        <f>TEXT(Table1[[#This Row],[Order Date]],"mmm")</f>
        <v>Jan</v>
      </c>
      <c r="D900" s="4" t="str">
        <f>TEXT(Table1[[#This Row],[Order Date]],"yyyy")</f>
        <v>2024</v>
      </c>
      <c r="E900" t="s">
        <v>34</v>
      </c>
      <c r="F900" t="s">
        <v>29</v>
      </c>
      <c r="G900" t="s">
        <v>66</v>
      </c>
      <c r="H900" t="s">
        <v>67</v>
      </c>
      <c r="I900">
        <v>1</v>
      </c>
      <c r="J900" s="2">
        <v>7.99</v>
      </c>
      <c r="K900" s="2">
        <v>7.99</v>
      </c>
      <c r="L900">
        <v>4</v>
      </c>
      <c r="M900" t="str">
        <f>IF(Table1[[#This Row],[Customer Rating]]&gt;=3,"Good","Average")</f>
        <v>Good</v>
      </c>
    </row>
    <row r="901" spans="1:13" x14ac:dyDescent="0.25">
      <c r="A901" t="s">
        <v>951</v>
      </c>
      <c r="B901" s="4">
        <v>45320</v>
      </c>
      <c r="C901" s="4" t="str">
        <f>TEXT(Table1[[#This Row],[Order Date]],"mmm")</f>
        <v>Jan</v>
      </c>
      <c r="D901" s="4" t="str">
        <f>TEXT(Table1[[#This Row],[Order Date]],"yyyy")</f>
        <v>2024</v>
      </c>
      <c r="E901" t="s">
        <v>32</v>
      </c>
      <c r="F901" t="s">
        <v>17</v>
      </c>
      <c r="G901" t="s">
        <v>18</v>
      </c>
      <c r="H901" t="s">
        <v>19</v>
      </c>
      <c r="I901">
        <v>3</v>
      </c>
      <c r="J901" s="2">
        <v>9.99</v>
      </c>
      <c r="K901" s="2">
        <v>29.97</v>
      </c>
      <c r="L901">
        <v>4</v>
      </c>
      <c r="M901" t="str">
        <f>IF(Table1[[#This Row],[Customer Rating]]&gt;=3,"Good","Average")</f>
        <v>Good</v>
      </c>
    </row>
    <row r="902" spans="1:13" x14ac:dyDescent="0.25">
      <c r="A902" t="s">
        <v>952</v>
      </c>
      <c r="B902" s="4">
        <v>45332</v>
      </c>
      <c r="C902" s="4" t="str">
        <f>TEXT(Table1[[#This Row],[Order Date]],"mmm")</f>
        <v>Feb</v>
      </c>
      <c r="D902" s="4" t="str">
        <f>TEXT(Table1[[#This Row],[Order Date]],"yyyy")</f>
        <v>2024</v>
      </c>
      <c r="E902" t="s">
        <v>32</v>
      </c>
      <c r="F902" t="s">
        <v>29</v>
      </c>
      <c r="G902" t="s">
        <v>50</v>
      </c>
      <c r="H902" t="s">
        <v>14</v>
      </c>
      <c r="I902">
        <v>1</v>
      </c>
      <c r="J902" s="2">
        <v>22.99</v>
      </c>
      <c r="K902" s="2">
        <v>22.99</v>
      </c>
      <c r="L902">
        <v>3</v>
      </c>
      <c r="M902" t="str">
        <f>IF(Table1[[#This Row],[Customer Rating]]&gt;=3,"Good","Average")</f>
        <v>Good</v>
      </c>
    </row>
    <row r="903" spans="1:13" x14ac:dyDescent="0.25">
      <c r="A903" t="s">
        <v>953</v>
      </c>
      <c r="B903" s="4">
        <v>45530</v>
      </c>
      <c r="C903" s="4" t="str">
        <f>TEXT(Table1[[#This Row],[Order Date]],"mmm")</f>
        <v>Aug</v>
      </c>
      <c r="D903" s="4" t="str">
        <f>TEXT(Table1[[#This Row],[Order Date]],"yyyy")</f>
        <v>2024</v>
      </c>
      <c r="E903" t="s">
        <v>25</v>
      </c>
      <c r="F903" t="s">
        <v>17</v>
      </c>
      <c r="G903" t="s">
        <v>69</v>
      </c>
      <c r="H903" t="s">
        <v>67</v>
      </c>
      <c r="I903">
        <v>2</v>
      </c>
      <c r="J903" s="2">
        <v>8.99</v>
      </c>
      <c r="K903" s="2">
        <v>17.98</v>
      </c>
      <c r="L903">
        <v>5</v>
      </c>
      <c r="M903" t="str">
        <f>IF(Table1[[#This Row],[Customer Rating]]&gt;=3,"Good","Average")</f>
        <v>Good</v>
      </c>
    </row>
    <row r="904" spans="1:13" x14ac:dyDescent="0.25">
      <c r="A904" t="s">
        <v>954</v>
      </c>
      <c r="B904" s="4">
        <v>45870</v>
      </c>
      <c r="C904" s="4" t="str">
        <f>TEXT(Table1[[#This Row],[Order Date]],"mmm")</f>
        <v>Aug</v>
      </c>
      <c r="D904" s="4" t="str">
        <f>TEXT(Table1[[#This Row],[Order Date]],"yyyy")</f>
        <v>2025</v>
      </c>
      <c r="E904" t="s">
        <v>97</v>
      </c>
      <c r="F904" t="s">
        <v>17</v>
      </c>
      <c r="G904" t="s">
        <v>83</v>
      </c>
      <c r="H904" t="s">
        <v>14</v>
      </c>
      <c r="I904">
        <v>1</v>
      </c>
      <c r="J904" s="2">
        <v>17.989999999999998</v>
      </c>
      <c r="K904" s="2">
        <v>17.989999999999998</v>
      </c>
      <c r="L904">
        <v>2</v>
      </c>
      <c r="M904" t="str">
        <f>IF(Table1[[#This Row],[Customer Rating]]&gt;=3,"Good","Average")</f>
        <v>Average</v>
      </c>
    </row>
    <row r="905" spans="1:13" x14ac:dyDescent="0.25">
      <c r="A905" t="s">
        <v>955</v>
      </c>
      <c r="B905" s="4">
        <v>45310</v>
      </c>
      <c r="C905" s="4" t="str">
        <f>TEXT(Table1[[#This Row],[Order Date]],"mmm")</f>
        <v>Jan</v>
      </c>
      <c r="D905" s="4" t="str">
        <f>TEXT(Table1[[#This Row],[Order Date]],"yyyy")</f>
        <v>2024</v>
      </c>
      <c r="E905" t="s">
        <v>21</v>
      </c>
      <c r="F905" t="s">
        <v>29</v>
      </c>
      <c r="G905" t="s">
        <v>22</v>
      </c>
      <c r="H905" t="s">
        <v>23</v>
      </c>
      <c r="I905">
        <v>2</v>
      </c>
      <c r="J905" s="2">
        <v>8.99</v>
      </c>
      <c r="K905" s="2">
        <v>17.98</v>
      </c>
      <c r="L905">
        <v>3</v>
      </c>
      <c r="M905" t="str">
        <f>IF(Table1[[#This Row],[Customer Rating]]&gt;=3,"Good","Average")</f>
        <v>Good</v>
      </c>
    </row>
    <row r="906" spans="1:13" x14ac:dyDescent="0.25">
      <c r="A906" t="s">
        <v>956</v>
      </c>
      <c r="B906" s="4">
        <v>45395</v>
      </c>
      <c r="C906" s="4" t="str">
        <f>TEXT(Table1[[#This Row],[Order Date]],"mmm")</f>
        <v>Apr</v>
      </c>
      <c r="D906" s="4" t="str">
        <f>TEXT(Table1[[#This Row],[Order Date]],"yyyy")</f>
        <v>2024</v>
      </c>
      <c r="E906" t="s">
        <v>45</v>
      </c>
      <c r="F906" t="s">
        <v>29</v>
      </c>
      <c r="G906" t="s">
        <v>36</v>
      </c>
      <c r="H906" t="s">
        <v>14</v>
      </c>
      <c r="I906">
        <v>1</v>
      </c>
      <c r="J906" s="2">
        <v>16.989999999999998</v>
      </c>
      <c r="K906" s="2">
        <v>16.989999999999998</v>
      </c>
      <c r="L906">
        <v>4</v>
      </c>
      <c r="M906" t="str">
        <f>IF(Table1[[#This Row],[Customer Rating]]&gt;=3,"Good","Average")</f>
        <v>Good</v>
      </c>
    </row>
    <row r="907" spans="1:13" x14ac:dyDescent="0.25">
      <c r="A907" t="s">
        <v>957</v>
      </c>
      <c r="B907" s="4">
        <v>45310</v>
      </c>
      <c r="C907" s="4" t="str">
        <f>TEXT(Table1[[#This Row],[Order Date]],"mmm")</f>
        <v>Jan</v>
      </c>
      <c r="D907" s="4" t="str">
        <f>TEXT(Table1[[#This Row],[Order Date]],"yyyy")</f>
        <v>2024</v>
      </c>
      <c r="E907" t="s">
        <v>11</v>
      </c>
      <c r="F907" t="s">
        <v>17</v>
      </c>
      <c r="G907" t="s">
        <v>46</v>
      </c>
      <c r="H907" t="s">
        <v>14</v>
      </c>
      <c r="I907">
        <v>2</v>
      </c>
      <c r="J907" s="2">
        <v>32.99</v>
      </c>
      <c r="K907" s="2">
        <v>65.98</v>
      </c>
      <c r="L907">
        <v>5</v>
      </c>
      <c r="M907" t="str">
        <f>IF(Table1[[#This Row],[Customer Rating]]&gt;=3,"Good","Average")</f>
        <v>Good</v>
      </c>
    </row>
    <row r="908" spans="1:13" x14ac:dyDescent="0.25">
      <c r="A908" t="s">
        <v>958</v>
      </c>
      <c r="B908" s="4">
        <v>45955</v>
      </c>
      <c r="C908" s="4" t="str">
        <f>TEXT(Table1[[#This Row],[Order Date]],"mmm")</f>
        <v>Oct</v>
      </c>
      <c r="D908" s="4" t="str">
        <f>TEXT(Table1[[#This Row],[Order Date]],"yyyy")</f>
        <v>2025</v>
      </c>
      <c r="E908" t="s">
        <v>32</v>
      </c>
      <c r="F908" t="s">
        <v>17</v>
      </c>
      <c r="G908" t="s">
        <v>57</v>
      </c>
      <c r="H908" t="s">
        <v>14</v>
      </c>
      <c r="I908">
        <v>3</v>
      </c>
      <c r="J908" s="2">
        <v>15.99</v>
      </c>
      <c r="K908" s="2">
        <v>47.97</v>
      </c>
      <c r="L908">
        <v>2</v>
      </c>
      <c r="M908" t="str">
        <f>IF(Table1[[#This Row],[Customer Rating]]&gt;=3,"Good","Average")</f>
        <v>Average</v>
      </c>
    </row>
    <row r="909" spans="1:13" x14ac:dyDescent="0.25">
      <c r="A909" t="s">
        <v>959</v>
      </c>
      <c r="B909" s="4">
        <v>45863</v>
      </c>
      <c r="C909" s="4" t="str">
        <f>TEXT(Table1[[#This Row],[Order Date]],"mmm")</f>
        <v>Jul</v>
      </c>
      <c r="D909" s="4" t="str">
        <f>TEXT(Table1[[#This Row],[Order Date]],"yyyy")</f>
        <v>2025</v>
      </c>
      <c r="E909" t="s">
        <v>32</v>
      </c>
      <c r="F909" t="s">
        <v>29</v>
      </c>
      <c r="G909" t="s">
        <v>46</v>
      </c>
      <c r="H909" t="s">
        <v>14</v>
      </c>
      <c r="I909">
        <v>1</v>
      </c>
      <c r="J909" s="2">
        <v>32.99</v>
      </c>
      <c r="K909" s="2">
        <v>32.99</v>
      </c>
      <c r="L909">
        <v>4</v>
      </c>
      <c r="M909" t="str">
        <f>IF(Table1[[#This Row],[Customer Rating]]&gt;=3,"Good","Average")</f>
        <v>Good</v>
      </c>
    </row>
    <row r="910" spans="1:13" x14ac:dyDescent="0.25">
      <c r="A910" t="s">
        <v>960</v>
      </c>
      <c r="B910" s="4">
        <v>45718</v>
      </c>
      <c r="C910" s="4" t="str">
        <f>TEXT(Table1[[#This Row],[Order Date]],"mmm")</f>
        <v>Mar</v>
      </c>
      <c r="D910" s="4" t="str">
        <f>TEXT(Table1[[#This Row],[Order Date]],"yyyy")</f>
        <v>2025</v>
      </c>
      <c r="E910" t="s">
        <v>32</v>
      </c>
      <c r="F910" t="s">
        <v>12</v>
      </c>
      <c r="G910" t="s">
        <v>30</v>
      </c>
      <c r="H910" t="s">
        <v>19</v>
      </c>
      <c r="I910">
        <v>3</v>
      </c>
      <c r="J910" s="2">
        <v>7.99</v>
      </c>
      <c r="K910" s="2">
        <v>23.97</v>
      </c>
      <c r="L910">
        <v>4</v>
      </c>
      <c r="M910" t="str">
        <f>IF(Table1[[#This Row],[Customer Rating]]&gt;=3,"Good","Average")</f>
        <v>Good</v>
      </c>
    </row>
    <row r="911" spans="1:13" x14ac:dyDescent="0.25">
      <c r="A911" t="s">
        <v>961</v>
      </c>
      <c r="B911" s="4">
        <v>46002</v>
      </c>
      <c r="C911" s="4" t="str">
        <f>TEXT(Table1[[#This Row],[Order Date]],"mmm")</f>
        <v>Dec</v>
      </c>
      <c r="D911" s="4" t="str">
        <f>TEXT(Table1[[#This Row],[Order Date]],"yyyy")</f>
        <v>2025</v>
      </c>
      <c r="E911" t="s">
        <v>32</v>
      </c>
      <c r="F911" t="s">
        <v>12</v>
      </c>
      <c r="G911" t="s">
        <v>79</v>
      </c>
      <c r="H911" t="s">
        <v>67</v>
      </c>
      <c r="I911">
        <v>1</v>
      </c>
      <c r="J911" s="2">
        <v>10.99</v>
      </c>
      <c r="K911" s="2">
        <v>10.99</v>
      </c>
      <c r="L911">
        <v>3</v>
      </c>
      <c r="M911" t="str">
        <f>IF(Table1[[#This Row],[Customer Rating]]&gt;=3,"Good","Average")</f>
        <v>Good</v>
      </c>
    </row>
    <row r="912" spans="1:13" x14ac:dyDescent="0.25">
      <c r="A912" t="s">
        <v>962</v>
      </c>
      <c r="B912" s="4">
        <v>45515</v>
      </c>
      <c r="C912" s="4" t="str">
        <f>TEXT(Table1[[#This Row],[Order Date]],"mmm")</f>
        <v>Aug</v>
      </c>
      <c r="D912" s="4" t="str">
        <f>TEXT(Table1[[#This Row],[Order Date]],"yyyy")</f>
        <v>2024</v>
      </c>
      <c r="E912" t="s">
        <v>45</v>
      </c>
      <c r="F912" t="s">
        <v>12</v>
      </c>
      <c r="G912" t="s">
        <v>142</v>
      </c>
      <c r="H912" t="s">
        <v>23</v>
      </c>
      <c r="I912">
        <v>1</v>
      </c>
      <c r="J912" s="2">
        <v>14.99</v>
      </c>
      <c r="K912" s="2">
        <v>14.99</v>
      </c>
      <c r="L912">
        <v>1</v>
      </c>
      <c r="M912" t="str">
        <f>IF(Table1[[#This Row],[Customer Rating]]&gt;=3,"Good","Average")</f>
        <v>Average</v>
      </c>
    </row>
    <row r="913" spans="1:13" x14ac:dyDescent="0.25">
      <c r="A913" t="s">
        <v>963</v>
      </c>
      <c r="B913" s="4">
        <v>45429</v>
      </c>
      <c r="C913" s="4" t="str">
        <f>TEXT(Table1[[#This Row],[Order Date]],"mmm")</f>
        <v>May</v>
      </c>
      <c r="D913" s="4" t="str">
        <f>TEXT(Table1[[#This Row],[Order Date]],"yyyy")</f>
        <v>2024</v>
      </c>
      <c r="E913" t="s">
        <v>97</v>
      </c>
      <c r="F913" t="s">
        <v>17</v>
      </c>
      <c r="G913" t="s">
        <v>62</v>
      </c>
      <c r="H913" t="s">
        <v>23</v>
      </c>
      <c r="I913">
        <v>1</v>
      </c>
      <c r="J913" s="2">
        <v>9.99</v>
      </c>
      <c r="K913" s="2">
        <v>9.99</v>
      </c>
      <c r="L913">
        <v>2</v>
      </c>
      <c r="M913" t="str">
        <f>IF(Table1[[#This Row],[Customer Rating]]&gt;=3,"Good","Average")</f>
        <v>Average</v>
      </c>
    </row>
    <row r="914" spans="1:13" x14ac:dyDescent="0.25">
      <c r="A914" t="s">
        <v>964</v>
      </c>
      <c r="B914" s="4">
        <v>45959</v>
      </c>
      <c r="C914" s="4" t="str">
        <f>TEXT(Table1[[#This Row],[Order Date]],"mmm")</f>
        <v>Oct</v>
      </c>
      <c r="D914" s="4" t="str">
        <f>TEXT(Table1[[#This Row],[Order Date]],"yyyy")</f>
        <v>2025</v>
      </c>
      <c r="E914" t="s">
        <v>11</v>
      </c>
      <c r="F914" t="s">
        <v>29</v>
      </c>
      <c r="G914" t="s">
        <v>13</v>
      </c>
      <c r="H914" t="s">
        <v>14</v>
      </c>
      <c r="I914">
        <v>2</v>
      </c>
      <c r="J914" s="2">
        <v>18.989999999999998</v>
      </c>
      <c r="K914" s="2">
        <v>37.979999999999997</v>
      </c>
      <c r="L914">
        <v>5</v>
      </c>
      <c r="M914" t="str">
        <f>IF(Table1[[#This Row],[Customer Rating]]&gt;=3,"Good","Average")</f>
        <v>Good</v>
      </c>
    </row>
    <row r="915" spans="1:13" x14ac:dyDescent="0.25">
      <c r="A915" t="s">
        <v>965</v>
      </c>
      <c r="B915" s="4">
        <v>45482</v>
      </c>
      <c r="C915" s="4" t="str">
        <f>TEXT(Table1[[#This Row],[Order Date]],"mmm")</f>
        <v>Jul</v>
      </c>
      <c r="D915" s="4" t="str">
        <f>TEXT(Table1[[#This Row],[Order Date]],"yyyy")</f>
        <v>2024</v>
      </c>
      <c r="E915" t="s">
        <v>11</v>
      </c>
      <c r="F915" t="s">
        <v>29</v>
      </c>
      <c r="G915" t="s">
        <v>50</v>
      </c>
      <c r="H915" t="s">
        <v>14</v>
      </c>
      <c r="I915">
        <v>3</v>
      </c>
      <c r="J915" s="2">
        <v>22.99</v>
      </c>
      <c r="K915" s="2">
        <v>68.97</v>
      </c>
      <c r="L915">
        <v>4</v>
      </c>
      <c r="M915" t="str">
        <f>IF(Table1[[#This Row],[Customer Rating]]&gt;=3,"Good","Average")</f>
        <v>Good</v>
      </c>
    </row>
    <row r="916" spans="1:13" x14ac:dyDescent="0.25">
      <c r="A916" t="s">
        <v>966</v>
      </c>
      <c r="B916" s="4">
        <v>45562</v>
      </c>
      <c r="C916" s="4" t="str">
        <f>TEXT(Table1[[#This Row],[Order Date]],"mmm")</f>
        <v>Sep</v>
      </c>
      <c r="D916" s="4" t="str">
        <f>TEXT(Table1[[#This Row],[Order Date]],"yyyy")</f>
        <v>2024</v>
      </c>
      <c r="E916" t="s">
        <v>11</v>
      </c>
      <c r="F916" t="s">
        <v>17</v>
      </c>
      <c r="G916" t="s">
        <v>13</v>
      </c>
      <c r="H916" t="s">
        <v>14</v>
      </c>
      <c r="I916">
        <v>1</v>
      </c>
      <c r="J916" s="2">
        <v>18.989999999999998</v>
      </c>
      <c r="K916" s="2">
        <v>18.989999999999998</v>
      </c>
      <c r="L916">
        <v>2</v>
      </c>
      <c r="M916" t="str">
        <f>IF(Table1[[#This Row],[Customer Rating]]&gt;=3,"Good","Average")</f>
        <v>Average</v>
      </c>
    </row>
    <row r="917" spans="1:13" x14ac:dyDescent="0.25">
      <c r="A917" t="s">
        <v>967</v>
      </c>
      <c r="B917" s="4">
        <v>45539</v>
      </c>
      <c r="C917" s="4" t="str">
        <f>TEXT(Table1[[#This Row],[Order Date]],"mmm")</f>
        <v>Sep</v>
      </c>
      <c r="D917" s="4" t="str">
        <f>TEXT(Table1[[#This Row],[Order Date]],"yyyy")</f>
        <v>2024</v>
      </c>
      <c r="E917" t="s">
        <v>45</v>
      </c>
      <c r="F917" t="s">
        <v>29</v>
      </c>
      <c r="G917" t="s">
        <v>176</v>
      </c>
      <c r="H917" t="s">
        <v>67</v>
      </c>
      <c r="I917">
        <v>4</v>
      </c>
      <c r="J917" s="2">
        <v>11.99</v>
      </c>
      <c r="K917" s="2">
        <v>47.96</v>
      </c>
      <c r="L917">
        <v>3</v>
      </c>
      <c r="M917" t="str">
        <f>IF(Table1[[#This Row],[Customer Rating]]&gt;=3,"Good","Average")</f>
        <v>Good</v>
      </c>
    </row>
    <row r="918" spans="1:13" x14ac:dyDescent="0.25">
      <c r="A918" t="s">
        <v>968</v>
      </c>
      <c r="B918" s="4">
        <v>45775</v>
      </c>
      <c r="C918" s="4" t="str">
        <f>TEXT(Table1[[#This Row],[Order Date]],"mmm")</f>
        <v>Apr</v>
      </c>
      <c r="D918" s="4" t="str">
        <f>TEXT(Table1[[#This Row],[Order Date]],"yyyy")</f>
        <v>2025</v>
      </c>
      <c r="E918" t="s">
        <v>38</v>
      </c>
      <c r="F918" t="s">
        <v>12</v>
      </c>
      <c r="G918" t="s">
        <v>50</v>
      </c>
      <c r="H918" t="s">
        <v>14</v>
      </c>
      <c r="I918">
        <v>3</v>
      </c>
      <c r="J918" s="2">
        <v>22.99</v>
      </c>
      <c r="K918" s="2">
        <v>68.97</v>
      </c>
      <c r="L918">
        <v>4</v>
      </c>
      <c r="M918" t="str">
        <f>IF(Table1[[#This Row],[Customer Rating]]&gt;=3,"Good","Average")</f>
        <v>Good</v>
      </c>
    </row>
    <row r="919" spans="1:13" x14ac:dyDescent="0.25">
      <c r="A919" t="s">
        <v>969</v>
      </c>
      <c r="B919" s="4">
        <v>45641</v>
      </c>
      <c r="C919" s="4" t="str">
        <f>TEXT(Table1[[#This Row],[Order Date]],"mmm")</f>
        <v>Dec</v>
      </c>
      <c r="D919" s="4" t="str">
        <f>TEXT(Table1[[#This Row],[Order Date]],"yyyy")</f>
        <v>2024</v>
      </c>
      <c r="E919" t="s">
        <v>25</v>
      </c>
      <c r="F919" t="s">
        <v>29</v>
      </c>
      <c r="G919" t="s">
        <v>39</v>
      </c>
      <c r="H919" t="s">
        <v>14</v>
      </c>
      <c r="I919">
        <v>1</v>
      </c>
      <c r="J919" s="2">
        <v>24.99</v>
      </c>
      <c r="K919" s="2">
        <v>24.99</v>
      </c>
      <c r="L919">
        <v>4</v>
      </c>
      <c r="M919" t="str">
        <f>IF(Table1[[#This Row],[Customer Rating]]&gt;=3,"Good","Average")</f>
        <v>Good</v>
      </c>
    </row>
    <row r="920" spans="1:13" x14ac:dyDescent="0.25">
      <c r="A920" t="s">
        <v>970</v>
      </c>
      <c r="B920" s="4">
        <v>45989</v>
      </c>
      <c r="C920" s="4" t="str">
        <f>TEXT(Table1[[#This Row],[Order Date]],"mmm")</f>
        <v>Nov</v>
      </c>
      <c r="D920" s="4" t="str">
        <f>TEXT(Table1[[#This Row],[Order Date]],"yyyy")</f>
        <v>2025</v>
      </c>
      <c r="E920" t="s">
        <v>28</v>
      </c>
      <c r="F920" t="s">
        <v>29</v>
      </c>
      <c r="G920" t="s">
        <v>83</v>
      </c>
      <c r="H920" t="s">
        <v>14</v>
      </c>
      <c r="I920">
        <v>3</v>
      </c>
      <c r="J920" s="2">
        <v>17.989999999999998</v>
      </c>
      <c r="K920" s="2">
        <v>53.97</v>
      </c>
      <c r="L920">
        <v>4</v>
      </c>
      <c r="M920" t="str">
        <f>IF(Table1[[#This Row],[Customer Rating]]&gt;=3,"Good","Average")</f>
        <v>Good</v>
      </c>
    </row>
    <row r="921" spans="1:13" x14ac:dyDescent="0.25">
      <c r="A921" t="s">
        <v>971</v>
      </c>
      <c r="B921" s="4">
        <v>45616</v>
      </c>
      <c r="C921" s="4" t="str">
        <f>TEXT(Table1[[#This Row],[Order Date]],"mmm")</f>
        <v>Nov</v>
      </c>
      <c r="D921" s="4" t="str">
        <f>TEXT(Table1[[#This Row],[Order Date]],"yyyy")</f>
        <v>2024</v>
      </c>
      <c r="E921" t="s">
        <v>45</v>
      </c>
      <c r="F921" t="s">
        <v>29</v>
      </c>
      <c r="G921" t="s">
        <v>13</v>
      </c>
      <c r="H921" t="s">
        <v>14</v>
      </c>
      <c r="I921">
        <v>1</v>
      </c>
      <c r="J921" s="2">
        <v>18.989999999999998</v>
      </c>
      <c r="K921" s="2">
        <v>18.989999999999998</v>
      </c>
      <c r="L921">
        <v>4</v>
      </c>
      <c r="M921" t="str">
        <f>IF(Table1[[#This Row],[Customer Rating]]&gt;=3,"Good","Average")</f>
        <v>Good</v>
      </c>
    </row>
    <row r="922" spans="1:13" x14ac:dyDescent="0.25">
      <c r="A922" t="s">
        <v>972</v>
      </c>
      <c r="B922" s="4">
        <v>45305</v>
      </c>
      <c r="C922" s="4" t="str">
        <f>TEXT(Table1[[#This Row],[Order Date]],"mmm")</f>
        <v>Jan</v>
      </c>
      <c r="D922" s="4" t="str">
        <f>TEXT(Table1[[#This Row],[Order Date]],"yyyy")</f>
        <v>2024</v>
      </c>
      <c r="E922" t="s">
        <v>28</v>
      </c>
      <c r="F922" t="s">
        <v>17</v>
      </c>
      <c r="G922" t="s">
        <v>50</v>
      </c>
      <c r="H922" t="s">
        <v>14</v>
      </c>
      <c r="I922">
        <v>1</v>
      </c>
      <c r="J922" s="2">
        <v>22.99</v>
      </c>
      <c r="K922" s="2">
        <v>22.99</v>
      </c>
      <c r="L922">
        <v>3</v>
      </c>
      <c r="M922" t="str">
        <f>IF(Table1[[#This Row],[Customer Rating]]&gt;=3,"Good","Average")</f>
        <v>Good</v>
      </c>
    </row>
    <row r="923" spans="1:13" x14ac:dyDescent="0.25">
      <c r="A923" t="s">
        <v>973</v>
      </c>
      <c r="B923" s="4">
        <v>45904</v>
      </c>
      <c r="C923" s="4" t="str">
        <f>TEXT(Table1[[#This Row],[Order Date]],"mmm")</f>
        <v>Sep</v>
      </c>
      <c r="D923" s="4" t="str">
        <f>TEXT(Table1[[#This Row],[Order Date]],"yyyy")</f>
        <v>2025</v>
      </c>
      <c r="E923" t="s">
        <v>16</v>
      </c>
      <c r="F923" t="s">
        <v>12</v>
      </c>
      <c r="G923" t="s">
        <v>142</v>
      </c>
      <c r="H923" t="s">
        <v>23</v>
      </c>
      <c r="I923">
        <v>1</v>
      </c>
      <c r="J923" s="2">
        <v>14.99</v>
      </c>
      <c r="K923" s="2">
        <v>14.99</v>
      </c>
      <c r="L923">
        <v>4</v>
      </c>
      <c r="M923" t="str">
        <f>IF(Table1[[#This Row],[Customer Rating]]&gt;=3,"Good","Average")</f>
        <v>Good</v>
      </c>
    </row>
    <row r="924" spans="1:13" x14ac:dyDescent="0.25">
      <c r="A924" t="s">
        <v>974</v>
      </c>
      <c r="B924" s="4">
        <v>45492</v>
      </c>
      <c r="C924" s="4" t="str">
        <f>TEXT(Table1[[#This Row],[Order Date]],"mmm")</f>
        <v>Jul</v>
      </c>
      <c r="D924" s="4" t="str">
        <f>TEXT(Table1[[#This Row],[Order Date]],"yyyy")</f>
        <v>2024</v>
      </c>
      <c r="E924" t="s">
        <v>25</v>
      </c>
      <c r="F924" t="s">
        <v>12</v>
      </c>
      <c r="G924" t="s">
        <v>83</v>
      </c>
      <c r="H924" t="s">
        <v>14</v>
      </c>
      <c r="I924">
        <v>1</v>
      </c>
      <c r="J924" s="2">
        <v>17.989999999999998</v>
      </c>
      <c r="K924" s="2">
        <v>17.989999999999998</v>
      </c>
      <c r="L924">
        <v>1</v>
      </c>
      <c r="M924" t="str">
        <f>IF(Table1[[#This Row],[Customer Rating]]&gt;=3,"Good","Average")</f>
        <v>Average</v>
      </c>
    </row>
    <row r="925" spans="1:13" x14ac:dyDescent="0.25">
      <c r="A925" t="s">
        <v>975</v>
      </c>
      <c r="B925" s="4">
        <v>45583</v>
      </c>
      <c r="C925" s="4" t="str">
        <f>TEXT(Table1[[#This Row],[Order Date]],"mmm")</f>
        <v>Oct</v>
      </c>
      <c r="D925" s="4" t="str">
        <f>TEXT(Table1[[#This Row],[Order Date]],"yyyy")</f>
        <v>2024</v>
      </c>
      <c r="E925" t="s">
        <v>21</v>
      </c>
      <c r="F925" t="s">
        <v>12</v>
      </c>
      <c r="G925" t="s">
        <v>46</v>
      </c>
      <c r="H925" t="s">
        <v>14</v>
      </c>
      <c r="I925">
        <v>2</v>
      </c>
      <c r="J925" s="2">
        <v>32.99</v>
      </c>
      <c r="K925" s="2">
        <v>65.98</v>
      </c>
      <c r="L925">
        <v>2</v>
      </c>
      <c r="M925" t="str">
        <f>IF(Table1[[#This Row],[Customer Rating]]&gt;=3,"Good","Average")</f>
        <v>Average</v>
      </c>
    </row>
    <row r="926" spans="1:13" x14ac:dyDescent="0.25">
      <c r="A926" t="s">
        <v>976</v>
      </c>
      <c r="B926" s="4">
        <v>45933</v>
      </c>
      <c r="C926" s="4" t="str">
        <f>TEXT(Table1[[#This Row],[Order Date]],"mmm")</f>
        <v>Oct</v>
      </c>
      <c r="D926" s="4" t="str">
        <f>TEXT(Table1[[#This Row],[Order Date]],"yyyy")</f>
        <v>2025</v>
      </c>
      <c r="E926" t="s">
        <v>16</v>
      </c>
      <c r="F926" t="s">
        <v>17</v>
      </c>
      <c r="G926" t="s">
        <v>69</v>
      </c>
      <c r="H926" t="s">
        <v>67</v>
      </c>
      <c r="I926">
        <v>2</v>
      </c>
      <c r="J926" s="2">
        <v>8.99</v>
      </c>
      <c r="K926" s="2">
        <v>17.98</v>
      </c>
      <c r="L926">
        <v>4</v>
      </c>
      <c r="M926" t="str">
        <f>IF(Table1[[#This Row],[Customer Rating]]&gt;=3,"Good","Average")</f>
        <v>Good</v>
      </c>
    </row>
    <row r="927" spans="1:13" x14ac:dyDescent="0.25">
      <c r="A927" t="s">
        <v>977</v>
      </c>
      <c r="B927" s="4">
        <v>45760</v>
      </c>
      <c r="C927" s="4" t="str">
        <f>TEXT(Table1[[#This Row],[Order Date]],"mmm")</f>
        <v>Apr</v>
      </c>
      <c r="D927" s="4" t="str">
        <f>TEXT(Table1[[#This Row],[Order Date]],"yyyy")</f>
        <v>2025</v>
      </c>
      <c r="E927" t="s">
        <v>32</v>
      </c>
      <c r="F927" t="s">
        <v>29</v>
      </c>
      <c r="G927" t="s">
        <v>22</v>
      </c>
      <c r="H927" t="s">
        <v>23</v>
      </c>
      <c r="I927">
        <v>1</v>
      </c>
      <c r="J927" s="2">
        <v>8.99</v>
      </c>
      <c r="K927" s="2">
        <v>8.99</v>
      </c>
      <c r="L927">
        <v>5</v>
      </c>
      <c r="M927" t="str">
        <f>IF(Table1[[#This Row],[Customer Rating]]&gt;=3,"Good","Average")</f>
        <v>Good</v>
      </c>
    </row>
    <row r="928" spans="1:13" x14ac:dyDescent="0.25">
      <c r="A928" t="s">
        <v>978</v>
      </c>
      <c r="B928" s="4">
        <v>45742</v>
      </c>
      <c r="C928" s="4" t="str">
        <f>TEXT(Table1[[#This Row],[Order Date]],"mmm")</f>
        <v>Mar</v>
      </c>
      <c r="D928" s="4" t="str">
        <f>TEXT(Table1[[#This Row],[Order Date]],"yyyy")</f>
        <v>2025</v>
      </c>
      <c r="E928" t="s">
        <v>21</v>
      </c>
      <c r="F928" t="s">
        <v>17</v>
      </c>
      <c r="G928" t="s">
        <v>13</v>
      </c>
      <c r="H928" t="s">
        <v>14</v>
      </c>
      <c r="I928">
        <v>2</v>
      </c>
      <c r="J928" s="2">
        <v>18.989999999999998</v>
      </c>
      <c r="K928" s="2">
        <v>37.979999999999997</v>
      </c>
      <c r="L928">
        <v>3</v>
      </c>
      <c r="M928" t="str">
        <f>IF(Table1[[#This Row],[Customer Rating]]&gt;=3,"Good","Average")</f>
        <v>Good</v>
      </c>
    </row>
    <row r="929" spans="1:13" x14ac:dyDescent="0.25">
      <c r="A929" t="s">
        <v>979</v>
      </c>
      <c r="B929" s="4">
        <v>45664</v>
      </c>
      <c r="C929" s="4" t="str">
        <f>TEXT(Table1[[#This Row],[Order Date]],"mmm")</f>
        <v>Jan</v>
      </c>
      <c r="D929" s="4" t="str">
        <f>TEXT(Table1[[#This Row],[Order Date]],"yyyy")</f>
        <v>2025</v>
      </c>
      <c r="E929" t="s">
        <v>28</v>
      </c>
      <c r="F929" t="s">
        <v>17</v>
      </c>
      <c r="G929" t="s">
        <v>50</v>
      </c>
      <c r="H929" t="s">
        <v>14</v>
      </c>
      <c r="I929">
        <v>1</v>
      </c>
      <c r="J929" s="2">
        <v>22.99</v>
      </c>
      <c r="K929" s="2">
        <v>22.99</v>
      </c>
      <c r="L929">
        <v>3</v>
      </c>
      <c r="M929" t="str">
        <f>IF(Table1[[#This Row],[Customer Rating]]&gt;=3,"Good","Average")</f>
        <v>Good</v>
      </c>
    </row>
    <row r="930" spans="1:13" x14ac:dyDescent="0.25">
      <c r="A930" t="s">
        <v>980</v>
      </c>
      <c r="B930" s="4">
        <v>45996</v>
      </c>
      <c r="C930" s="4" t="str">
        <f>TEXT(Table1[[#This Row],[Order Date]],"mmm")</f>
        <v>Dec</v>
      </c>
      <c r="D930" s="4" t="str">
        <f>TEXT(Table1[[#This Row],[Order Date]],"yyyy")</f>
        <v>2025</v>
      </c>
      <c r="E930" t="s">
        <v>45</v>
      </c>
      <c r="F930" t="s">
        <v>12</v>
      </c>
      <c r="G930" t="s">
        <v>79</v>
      </c>
      <c r="H930" t="s">
        <v>67</v>
      </c>
      <c r="I930">
        <v>1</v>
      </c>
      <c r="J930" s="2">
        <v>10.99</v>
      </c>
      <c r="K930" s="2">
        <v>10.99</v>
      </c>
      <c r="L930">
        <v>2</v>
      </c>
      <c r="M930" t="str">
        <f>IF(Table1[[#This Row],[Customer Rating]]&gt;=3,"Good","Average")</f>
        <v>Average</v>
      </c>
    </row>
    <row r="931" spans="1:13" x14ac:dyDescent="0.25">
      <c r="A931" t="s">
        <v>981</v>
      </c>
      <c r="B931" s="4">
        <v>45439</v>
      </c>
      <c r="C931" s="4" t="str">
        <f>TEXT(Table1[[#This Row],[Order Date]],"mmm")</f>
        <v>May</v>
      </c>
      <c r="D931" s="4" t="str">
        <f>TEXT(Table1[[#This Row],[Order Date]],"yyyy")</f>
        <v>2024</v>
      </c>
      <c r="E931" t="s">
        <v>38</v>
      </c>
      <c r="F931" t="s">
        <v>29</v>
      </c>
      <c r="G931" t="s">
        <v>52</v>
      </c>
      <c r="H931" t="s">
        <v>19</v>
      </c>
      <c r="I931">
        <v>4</v>
      </c>
      <c r="J931" s="2">
        <v>6.99</v>
      </c>
      <c r="K931" s="2">
        <v>27.96</v>
      </c>
      <c r="L931">
        <v>4</v>
      </c>
      <c r="M931" t="str">
        <f>IF(Table1[[#This Row],[Customer Rating]]&gt;=3,"Good","Average")</f>
        <v>Good</v>
      </c>
    </row>
    <row r="932" spans="1:13" x14ac:dyDescent="0.25">
      <c r="A932" t="s">
        <v>982</v>
      </c>
      <c r="B932" s="4">
        <v>45904</v>
      </c>
      <c r="C932" s="4" t="str">
        <f>TEXT(Table1[[#This Row],[Order Date]],"mmm")</f>
        <v>Sep</v>
      </c>
      <c r="D932" s="4" t="str">
        <f>TEXT(Table1[[#This Row],[Order Date]],"yyyy")</f>
        <v>2025</v>
      </c>
      <c r="E932" t="s">
        <v>34</v>
      </c>
      <c r="F932" t="s">
        <v>29</v>
      </c>
      <c r="G932" t="s">
        <v>46</v>
      </c>
      <c r="H932" t="s">
        <v>14</v>
      </c>
      <c r="I932">
        <v>1</v>
      </c>
      <c r="J932" s="2">
        <v>32.99</v>
      </c>
      <c r="K932" s="2">
        <v>32.99</v>
      </c>
      <c r="L932">
        <v>3</v>
      </c>
      <c r="M932" t="str">
        <f>IF(Table1[[#This Row],[Customer Rating]]&gt;=3,"Good","Average")</f>
        <v>Good</v>
      </c>
    </row>
    <row r="933" spans="1:13" x14ac:dyDescent="0.25">
      <c r="A933" t="s">
        <v>983</v>
      </c>
      <c r="B933" s="4">
        <v>45396</v>
      </c>
      <c r="C933" s="4" t="str">
        <f>TEXT(Table1[[#This Row],[Order Date]],"mmm")</f>
        <v>Apr</v>
      </c>
      <c r="D933" s="4" t="str">
        <f>TEXT(Table1[[#This Row],[Order Date]],"yyyy")</f>
        <v>2024</v>
      </c>
      <c r="E933" t="s">
        <v>32</v>
      </c>
      <c r="F933" t="s">
        <v>17</v>
      </c>
      <c r="G933" t="s">
        <v>55</v>
      </c>
      <c r="H933" t="s">
        <v>23</v>
      </c>
      <c r="I933">
        <v>2</v>
      </c>
      <c r="J933" s="2">
        <v>10.99</v>
      </c>
      <c r="K933" s="2">
        <v>21.98</v>
      </c>
      <c r="L933">
        <v>5</v>
      </c>
      <c r="M933" t="str">
        <f>IF(Table1[[#This Row],[Customer Rating]]&gt;=3,"Good","Average")</f>
        <v>Good</v>
      </c>
    </row>
    <row r="934" spans="1:13" x14ac:dyDescent="0.25">
      <c r="A934" t="s">
        <v>984</v>
      </c>
      <c r="B934" s="4">
        <v>45717</v>
      </c>
      <c r="C934" s="4" t="str">
        <f>TEXT(Table1[[#This Row],[Order Date]],"mmm")</f>
        <v>Mar</v>
      </c>
      <c r="D934" s="4" t="str">
        <f>TEXT(Table1[[#This Row],[Order Date]],"yyyy")</f>
        <v>2025</v>
      </c>
      <c r="E934" t="s">
        <v>11</v>
      </c>
      <c r="F934" t="s">
        <v>12</v>
      </c>
      <c r="G934" t="s">
        <v>36</v>
      </c>
      <c r="H934" t="s">
        <v>14</v>
      </c>
      <c r="I934">
        <v>2</v>
      </c>
      <c r="J934" s="2">
        <v>16.989999999999998</v>
      </c>
      <c r="K934" s="2">
        <v>33.979999999999997</v>
      </c>
      <c r="L934">
        <v>2</v>
      </c>
      <c r="M934" t="str">
        <f>IF(Table1[[#This Row],[Customer Rating]]&gt;=3,"Good","Average")</f>
        <v>Average</v>
      </c>
    </row>
    <row r="935" spans="1:13" x14ac:dyDescent="0.25">
      <c r="A935" t="s">
        <v>985</v>
      </c>
      <c r="B935" s="4">
        <v>45403</v>
      </c>
      <c r="C935" s="4" t="str">
        <f>TEXT(Table1[[#This Row],[Order Date]],"mmm")</f>
        <v>Apr</v>
      </c>
      <c r="D935" s="4" t="str">
        <f>TEXT(Table1[[#This Row],[Order Date]],"yyyy")</f>
        <v>2024</v>
      </c>
      <c r="E935" t="s">
        <v>32</v>
      </c>
      <c r="F935" t="s">
        <v>29</v>
      </c>
      <c r="G935" t="s">
        <v>52</v>
      </c>
      <c r="H935" t="s">
        <v>19</v>
      </c>
      <c r="I935">
        <v>1</v>
      </c>
      <c r="J935" s="2">
        <v>6.99</v>
      </c>
      <c r="K935" s="2">
        <v>6.99</v>
      </c>
      <c r="L935">
        <v>4</v>
      </c>
      <c r="M935" t="str">
        <f>IF(Table1[[#This Row],[Customer Rating]]&gt;=3,"Good","Average")</f>
        <v>Good</v>
      </c>
    </row>
    <row r="936" spans="1:13" x14ac:dyDescent="0.25">
      <c r="A936" t="s">
        <v>986</v>
      </c>
      <c r="B936" s="4">
        <v>45755</v>
      </c>
      <c r="C936" s="4" t="str">
        <f>TEXT(Table1[[#This Row],[Order Date]],"mmm")</f>
        <v>Apr</v>
      </c>
      <c r="D936" s="4" t="str">
        <f>TEXT(Table1[[#This Row],[Order Date]],"yyyy")</f>
        <v>2025</v>
      </c>
      <c r="E936" t="s">
        <v>45</v>
      </c>
      <c r="F936" t="s">
        <v>29</v>
      </c>
      <c r="G936" t="s">
        <v>83</v>
      </c>
      <c r="H936" t="s">
        <v>14</v>
      </c>
      <c r="I936">
        <v>1</v>
      </c>
      <c r="J936" s="2">
        <v>17.989999999999998</v>
      </c>
      <c r="K936" s="2">
        <v>17.989999999999998</v>
      </c>
      <c r="L936">
        <v>4</v>
      </c>
      <c r="M936" t="str">
        <f>IF(Table1[[#This Row],[Customer Rating]]&gt;=3,"Good","Average")</f>
        <v>Good</v>
      </c>
    </row>
    <row r="937" spans="1:13" x14ac:dyDescent="0.25">
      <c r="A937" t="s">
        <v>987</v>
      </c>
      <c r="B937" s="4">
        <v>45696</v>
      </c>
      <c r="C937" s="4" t="str">
        <f>TEXT(Table1[[#This Row],[Order Date]],"mmm")</f>
        <v>Feb</v>
      </c>
      <c r="D937" s="4" t="str">
        <f>TEXT(Table1[[#This Row],[Order Date]],"yyyy")</f>
        <v>2025</v>
      </c>
      <c r="E937" t="s">
        <v>34</v>
      </c>
      <c r="F937" t="s">
        <v>29</v>
      </c>
      <c r="G937" t="s">
        <v>74</v>
      </c>
      <c r="H937" t="s">
        <v>14</v>
      </c>
      <c r="I937">
        <v>3</v>
      </c>
      <c r="J937" s="2">
        <v>14.99</v>
      </c>
      <c r="K937" s="2">
        <v>44.97</v>
      </c>
      <c r="L937">
        <v>1</v>
      </c>
      <c r="M937" t="str">
        <f>IF(Table1[[#This Row],[Customer Rating]]&gt;=3,"Good","Average")</f>
        <v>Average</v>
      </c>
    </row>
    <row r="938" spans="1:13" x14ac:dyDescent="0.25">
      <c r="A938" t="s">
        <v>988</v>
      </c>
      <c r="B938" s="4">
        <v>45524</v>
      </c>
      <c r="C938" s="4" t="str">
        <f>TEXT(Table1[[#This Row],[Order Date]],"mmm")</f>
        <v>Aug</v>
      </c>
      <c r="D938" s="4" t="str">
        <f>TEXT(Table1[[#This Row],[Order Date]],"yyyy")</f>
        <v>2024</v>
      </c>
      <c r="E938" t="s">
        <v>11</v>
      </c>
      <c r="F938" t="s">
        <v>29</v>
      </c>
      <c r="G938" t="s">
        <v>18</v>
      </c>
      <c r="H938" t="s">
        <v>19</v>
      </c>
      <c r="I938">
        <v>3</v>
      </c>
      <c r="J938" s="2">
        <v>9.99</v>
      </c>
      <c r="K938" s="2">
        <v>29.97</v>
      </c>
      <c r="L938">
        <v>3</v>
      </c>
      <c r="M938" t="str">
        <f>IF(Table1[[#This Row],[Customer Rating]]&gt;=3,"Good","Average")</f>
        <v>Good</v>
      </c>
    </row>
    <row r="939" spans="1:13" x14ac:dyDescent="0.25">
      <c r="A939" t="s">
        <v>989</v>
      </c>
      <c r="B939" s="4">
        <v>45678</v>
      </c>
      <c r="C939" s="4" t="str">
        <f>TEXT(Table1[[#This Row],[Order Date]],"mmm")</f>
        <v>Jan</v>
      </c>
      <c r="D939" s="4" t="str">
        <f>TEXT(Table1[[#This Row],[Order Date]],"yyyy")</f>
        <v>2025</v>
      </c>
      <c r="E939" t="s">
        <v>38</v>
      </c>
      <c r="F939" t="s">
        <v>29</v>
      </c>
      <c r="G939" t="s">
        <v>26</v>
      </c>
      <c r="H939" t="s">
        <v>19</v>
      </c>
      <c r="I939">
        <v>3</v>
      </c>
      <c r="J939" s="2">
        <v>3.49</v>
      </c>
      <c r="K939" s="2">
        <v>10.47</v>
      </c>
      <c r="L939">
        <v>4</v>
      </c>
      <c r="M939" t="str">
        <f>IF(Table1[[#This Row],[Customer Rating]]&gt;=3,"Good","Average")</f>
        <v>Good</v>
      </c>
    </row>
    <row r="940" spans="1:13" x14ac:dyDescent="0.25">
      <c r="A940" t="s">
        <v>990</v>
      </c>
      <c r="B940" s="4">
        <v>45696</v>
      </c>
      <c r="C940" s="4" t="str">
        <f>TEXT(Table1[[#This Row],[Order Date]],"mmm")</f>
        <v>Feb</v>
      </c>
      <c r="D940" s="4" t="str">
        <f>TEXT(Table1[[#This Row],[Order Date]],"yyyy")</f>
        <v>2025</v>
      </c>
      <c r="E940" t="s">
        <v>25</v>
      </c>
      <c r="F940" t="s">
        <v>12</v>
      </c>
      <c r="G940" t="s">
        <v>83</v>
      </c>
      <c r="H940" t="s">
        <v>14</v>
      </c>
      <c r="I940">
        <v>1</v>
      </c>
      <c r="J940" s="2">
        <v>17.989999999999998</v>
      </c>
      <c r="K940" s="2">
        <v>17.989999999999998</v>
      </c>
      <c r="L940">
        <v>5</v>
      </c>
      <c r="M940" t="str">
        <f>IF(Table1[[#This Row],[Customer Rating]]&gt;=3,"Good","Average")</f>
        <v>Good</v>
      </c>
    </row>
    <row r="941" spans="1:13" x14ac:dyDescent="0.25">
      <c r="A941" t="s">
        <v>991</v>
      </c>
      <c r="B941" s="4">
        <v>45319</v>
      </c>
      <c r="C941" s="4" t="str">
        <f>TEXT(Table1[[#This Row],[Order Date]],"mmm")</f>
        <v>Jan</v>
      </c>
      <c r="D941" s="4" t="str">
        <f>TEXT(Table1[[#This Row],[Order Date]],"yyyy")</f>
        <v>2024</v>
      </c>
      <c r="E941" t="s">
        <v>34</v>
      </c>
      <c r="F941" t="s">
        <v>17</v>
      </c>
      <c r="G941" t="s">
        <v>69</v>
      </c>
      <c r="H941" t="s">
        <v>67</v>
      </c>
      <c r="I941">
        <v>4</v>
      </c>
      <c r="J941" s="2">
        <v>8.99</v>
      </c>
      <c r="K941" s="2">
        <v>35.96</v>
      </c>
      <c r="L941">
        <v>5</v>
      </c>
      <c r="M941" t="str">
        <f>IF(Table1[[#This Row],[Customer Rating]]&gt;=3,"Good","Average")</f>
        <v>Good</v>
      </c>
    </row>
    <row r="942" spans="1:13" x14ac:dyDescent="0.25">
      <c r="A942" t="s">
        <v>992</v>
      </c>
      <c r="B942" s="4">
        <v>45941</v>
      </c>
      <c r="C942" s="4" t="str">
        <f>TEXT(Table1[[#This Row],[Order Date]],"mmm")</f>
        <v>Oct</v>
      </c>
      <c r="D942" s="4" t="str">
        <f>TEXT(Table1[[#This Row],[Order Date]],"yyyy")</f>
        <v>2025</v>
      </c>
      <c r="E942" t="s">
        <v>11</v>
      </c>
      <c r="F942" t="s">
        <v>29</v>
      </c>
      <c r="G942" t="s">
        <v>83</v>
      </c>
      <c r="H942" t="s">
        <v>14</v>
      </c>
      <c r="I942">
        <v>2</v>
      </c>
      <c r="J942" s="2">
        <v>17.989999999999998</v>
      </c>
      <c r="K942" s="2">
        <v>35.979999999999997</v>
      </c>
      <c r="L942">
        <v>3</v>
      </c>
      <c r="M942" t="str">
        <f>IF(Table1[[#This Row],[Customer Rating]]&gt;=3,"Good","Average")</f>
        <v>Good</v>
      </c>
    </row>
    <row r="943" spans="1:13" x14ac:dyDescent="0.25">
      <c r="A943" t="s">
        <v>993</v>
      </c>
      <c r="B943" s="4">
        <v>45400</v>
      </c>
      <c r="C943" s="4" t="str">
        <f>TEXT(Table1[[#This Row],[Order Date]],"mmm")</f>
        <v>Apr</v>
      </c>
      <c r="D943" s="4" t="str">
        <f>TEXT(Table1[[#This Row],[Order Date]],"yyyy")</f>
        <v>2024</v>
      </c>
      <c r="E943" t="s">
        <v>38</v>
      </c>
      <c r="F943" t="s">
        <v>17</v>
      </c>
      <c r="G943" t="s">
        <v>36</v>
      </c>
      <c r="H943" t="s">
        <v>14</v>
      </c>
      <c r="I943">
        <v>1</v>
      </c>
      <c r="J943" s="2">
        <v>16.989999999999998</v>
      </c>
      <c r="K943" s="2">
        <v>16.989999999999998</v>
      </c>
      <c r="L943">
        <v>4</v>
      </c>
      <c r="M943" t="str">
        <f>IF(Table1[[#This Row],[Customer Rating]]&gt;=3,"Good","Average")</f>
        <v>Good</v>
      </c>
    </row>
    <row r="944" spans="1:13" x14ac:dyDescent="0.25">
      <c r="A944" t="s">
        <v>994</v>
      </c>
      <c r="B944" s="4">
        <v>45512</v>
      </c>
      <c r="C944" s="4" t="str">
        <f>TEXT(Table1[[#This Row],[Order Date]],"mmm")</f>
        <v>Aug</v>
      </c>
      <c r="D944" s="4" t="str">
        <f>TEXT(Table1[[#This Row],[Order Date]],"yyyy")</f>
        <v>2024</v>
      </c>
      <c r="E944" t="s">
        <v>25</v>
      </c>
      <c r="F944" t="s">
        <v>12</v>
      </c>
      <c r="G944" t="s">
        <v>36</v>
      </c>
      <c r="H944" t="s">
        <v>14</v>
      </c>
      <c r="I944">
        <v>1</v>
      </c>
      <c r="J944" s="2">
        <v>16.989999999999998</v>
      </c>
      <c r="K944" s="2">
        <v>16.989999999999998</v>
      </c>
      <c r="L944">
        <v>4</v>
      </c>
      <c r="M944" t="str">
        <f>IF(Table1[[#This Row],[Customer Rating]]&gt;=3,"Good","Average")</f>
        <v>Good</v>
      </c>
    </row>
    <row r="945" spans="1:13" x14ac:dyDescent="0.25">
      <c r="A945" t="s">
        <v>995</v>
      </c>
      <c r="B945" s="4">
        <v>45697</v>
      </c>
      <c r="C945" s="4" t="str">
        <f>TEXT(Table1[[#This Row],[Order Date]],"mmm")</f>
        <v>Feb</v>
      </c>
      <c r="D945" s="4" t="str">
        <f>TEXT(Table1[[#This Row],[Order Date]],"yyyy")</f>
        <v>2025</v>
      </c>
      <c r="E945" t="s">
        <v>11</v>
      </c>
      <c r="F945" t="s">
        <v>17</v>
      </c>
      <c r="G945" t="s">
        <v>79</v>
      </c>
      <c r="H945" t="s">
        <v>67</v>
      </c>
      <c r="I945">
        <v>1</v>
      </c>
      <c r="J945" s="2">
        <v>10.99</v>
      </c>
      <c r="K945" s="2">
        <v>10.99</v>
      </c>
      <c r="L945">
        <v>5</v>
      </c>
      <c r="M945" t="str">
        <f>IF(Table1[[#This Row],[Customer Rating]]&gt;=3,"Good","Average")</f>
        <v>Good</v>
      </c>
    </row>
    <row r="946" spans="1:13" x14ac:dyDescent="0.25">
      <c r="A946" t="s">
        <v>996</v>
      </c>
      <c r="B946" s="4">
        <v>45378</v>
      </c>
      <c r="C946" s="4" t="str">
        <f>TEXT(Table1[[#This Row],[Order Date]],"mmm")</f>
        <v>Mar</v>
      </c>
      <c r="D946" s="4" t="str">
        <f>TEXT(Table1[[#This Row],[Order Date]],"yyyy")</f>
        <v>2024</v>
      </c>
      <c r="E946" t="s">
        <v>21</v>
      </c>
      <c r="F946" t="s">
        <v>12</v>
      </c>
      <c r="G946" t="s">
        <v>57</v>
      </c>
      <c r="H946" t="s">
        <v>14</v>
      </c>
      <c r="I946">
        <v>1</v>
      </c>
      <c r="J946" s="2">
        <v>15.99</v>
      </c>
      <c r="K946" s="2">
        <v>15.99</v>
      </c>
      <c r="L946">
        <v>4</v>
      </c>
      <c r="M946" t="str">
        <f>IF(Table1[[#This Row],[Customer Rating]]&gt;=3,"Good","Average")</f>
        <v>Good</v>
      </c>
    </row>
    <row r="947" spans="1:13" x14ac:dyDescent="0.25">
      <c r="A947" t="s">
        <v>997</v>
      </c>
      <c r="B947" s="4">
        <v>45907</v>
      </c>
      <c r="C947" s="4" t="str">
        <f>TEXT(Table1[[#This Row],[Order Date]],"mmm")</f>
        <v>Sep</v>
      </c>
      <c r="D947" s="4" t="str">
        <f>TEXT(Table1[[#This Row],[Order Date]],"yyyy")</f>
        <v>2025</v>
      </c>
      <c r="E947" t="s">
        <v>97</v>
      </c>
      <c r="F947" t="s">
        <v>17</v>
      </c>
      <c r="G947" t="s">
        <v>66</v>
      </c>
      <c r="H947" t="s">
        <v>67</v>
      </c>
      <c r="I947">
        <v>1</v>
      </c>
      <c r="J947" s="2">
        <v>7.99</v>
      </c>
      <c r="K947" s="2">
        <v>7.99</v>
      </c>
      <c r="L947">
        <v>5</v>
      </c>
      <c r="M947" t="str">
        <f>IF(Table1[[#This Row],[Customer Rating]]&gt;=3,"Good","Average")</f>
        <v>Good</v>
      </c>
    </row>
    <row r="948" spans="1:13" x14ac:dyDescent="0.25">
      <c r="A948" t="s">
        <v>998</v>
      </c>
      <c r="B948" s="4">
        <v>45563</v>
      </c>
      <c r="C948" s="4" t="str">
        <f>TEXT(Table1[[#This Row],[Order Date]],"mmm")</f>
        <v>Sep</v>
      </c>
      <c r="D948" s="4" t="str">
        <f>TEXT(Table1[[#This Row],[Order Date]],"yyyy")</f>
        <v>2024</v>
      </c>
      <c r="E948" t="s">
        <v>16</v>
      </c>
      <c r="F948" t="s">
        <v>12</v>
      </c>
      <c r="G948" t="s">
        <v>46</v>
      </c>
      <c r="H948" t="s">
        <v>14</v>
      </c>
      <c r="I948">
        <v>2</v>
      </c>
      <c r="J948" s="2">
        <v>32.99</v>
      </c>
      <c r="K948" s="2">
        <v>65.98</v>
      </c>
      <c r="L948">
        <v>3</v>
      </c>
      <c r="M948" t="str">
        <f>IF(Table1[[#This Row],[Customer Rating]]&gt;=3,"Good","Average")</f>
        <v>Good</v>
      </c>
    </row>
    <row r="949" spans="1:13" x14ac:dyDescent="0.25">
      <c r="A949" t="s">
        <v>999</v>
      </c>
      <c r="B949" s="4">
        <v>45864</v>
      </c>
      <c r="C949" s="4" t="str">
        <f>TEXT(Table1[[#This Row],[Order Date]],"mmm")</f>
        <v>Jul</v>
      </c>
      <c r="D949" s="4" t="str">
        <f>TEXT(Table1[[#This Row],[Order Date]],"yyyy")</f>
        <v>2025</v>
      </c>
      <c r="E949" t="s">
        <v>45</v>
      </c>
      <c r="F949" t="s">
        <v>17</v>
      </c>
      <c r="G949" t="s">
        <v>26</v>
      </c>
      <c r="H949" t="s">
        <v>19</v>
      </c>
      <c r="I949">
        <v>1</v>
      </c>
      <c r="J949" s="2">
        <v>3.49</v>
      </c>
      <c r="K949" s="2">
        <v>3.49</v>
      </c>
      <c r="L949">
        <v>5</v>
      </c>
      <c r="M949" t="str">
        <f>IF(Table1[[#This Row],[Customer Rating]]&gt;=3,"Good","Average")</f>
        <v>Good</v>
      </c>
    </row>
    <row r="950" spans="1:13" x14ac:dyDescent="0.25">
      <c r="A950" t="s">
        <v>1000</v>
      </c>
      <c r="B950" s="4">
        <v>45711</v>
      </c>
      <c r="C950" s="4" t="str">
        <f>TEXT(Table1[[#This Row],[Order Date]],"mmm")</f>
        <v>Feb</v>
      </c>
      <c r="D950" s="4" t="str">
        <f>TEXT(Table1[[#This Row],[Order Date]],"yyyy")</f>
        <v>2025</v>
      </c>
      <c r="E950" t="s">
        <v>21</v>
      </c>
      <c r="F950" t="s">
        <v>12</v>
      </c>
      <c r="G950" t="s">
        <v>26</v>
      </c>
      <c r="H950" t="s">
        <v>19</v>
      </c>
      <c r="I950">
        <v>1</v>
      </c>
      <c r="J950" s="2">
        <v>3.49</v>
      </c>
      <c r="K950" s="2">
        <v>3.49</v>
      </c>
      <c r="L950">
        <v>4</v>
      </c>
      <c r="M950" t="str">
        <f>IF(Table1[[#This Row],[Customer Rating]]&gt;=3,"Good","Average")</f>
        <v>Good</v>
      </c>
    </row>
    <row r="951" spans="1:13" x14ac:dyDescent="0.25">
      <c r="A951" t="s">
        <v>1001</v>
      </c>
      <c r="B951" s="4">
        <v>45934</v>
      </c>
      <c r="C951" s="4" t="str">
        <f>TEXT(Table1[[#This Row],[Order Date]],"mmm")</f>
        <v>Oct</v>
      </c>
      <c r="D951" s="4" t="str">
        <f>TEXT(Table1[[#This Row],[Order Date]],"yyyy")</f>
        <v>2025</v>
      </c>
      <c r="E951" t="s">
        <v>28</v>
      </c>
      <c r="F951" t="s">
        <v>12</v>
      </c>
      <c r="G951" t="s">
        <v>55</v>
      </c>
      <c r="H951" t="s">
        <v>23</v>
      </c>
      <c r="I951">
        <v>1</v>
      </c>
      <c r="J951" s="2">
        <v>10.99</v>
      </c>
      <c r="K951" s="2">
        <v>10.99</v>
      </c>
      <c r="L951">
        <v>4</v>
      </c>
      <c r="M951" t="str">
        <f>IF(Table1[[#This Row],[Customer Rating]]&gt;=3,"Good","Average")</f>
        <v>Good</v>
      </c>
    </row>
    <row r="952" spans="1:13" x14ac:dyDescent="0.25">
      <c r="A952" t="s">
        <v>1002</v>
      </c>
      <c r="B952" s="4">
        <v>45922</v>
      </c>
      <c r="C952" s="4" t="str">
        <f>TEXT(Table1[[#This Row],[Order Date]],"mmm")</f>
        <v>Sep</v>
      </c>
      <c r="D952" s="4" t="str">
        <f>TEXT(Table1[[#This Row],[Order Date]],"yyyy")</f>
        <v>2025</v>
      </c>
      <c r="E952" t="s">
        <v>32</v>
      </c>
      <c r="F952" t="s">
        <v>29</v>
      </c>
      <c r="G952" t="s">
        <v>36</v>
      </c>
      <c r="H952" t="s">
        <v>14</v>
      </c>
      <c r="I952">
        <v>2</v>
      </c>
      <c r="J952" s="2">
        <v>16.989999999999998</v>
      </c>
      <c r="K952" s="2">
        <v>33.979999999999997</v>
      </c>
      <c r="L952">
        <v>4</v>
      </c>
      <c r="M952" t="str">
        <f>IF(Table1[[#This Row],[Customer Rating]]&gt;=3,"Good","Average")</f>
        <v>Good</v>
      </c>
    </row>
    <row r="953" spans="1:13" x14ac:dyDescent="0.25">
      <c r="A953" t="s">
        <v>1003</v>
      </c>
      <c r="B953" s="4">
        <v>45491</v>
      </c>
      <c r="C953" s="4" t="str">
        <f>TEXT(Table1[[#This Row],[Order Date]],"mmm")</f>
        <v>Jul</v>
      </c>
      <c r="D953" s="4" t="str">
        <f>TEXT(Table1[[#This Row],[Order Date]],"yyyy")</f>
        <v>2024</v>
      </c>
      <c r="E953" t="s">
        <v>45</v>
      </c>
      <c r="F953" t="s">
        <v>29</v>
      </c>
      <c r="G953" t="s">
        <v>176</v>
      </c>
      <c r="H953" t="s">
        <v>67</v>
      </c>
      <c r="I953">
        <v>2</v>
      </c>
      <c r="J953" s="2">
        <v>11.99</v>
      </c>
      <c r="K953" s="2">
        <v>23.98</v>
      </c>
      <c r="L953">
        <v>3</v>
      </c>
      <c r="M953" t="str">
        <f>IF(Table1[[#This Row],[Customer Rating]]&gt;=3,"Good","Average")</f>
        <v>Good</v>
      </c>
    </row>
    <row r="954" spans="1:13" x14ac:dyDescent="0.25">
      <c r="A954" t="s">
        <v>1004</v>
      </c>
      <c r="B954" s="4">
        <v>45840</v>
      </c>
      <c r="C954" s="4" t="str">
        <f>TEXT(Table1[[#This Row],[Order Date]],"mmm")</f>
        <v>Jul</v>
      </c>
      <c r="D954" s="4" t="str">
        <f>TEXT(Table1[[#This Row],[Order Date]],"yyyy")</f>
        <v>2025</v>
      </c>
      <c r="E954" t="s">
        <v>97</v>
      </c>
      <c r="F954" t="s">
        <v>17</v>
      </c>
      <c r="G954" t="s">
        <v>142</v>
      </c>
      <c r="H954" t="s">
        <v>23</v>
      </c>
      <c r="I954">
        <v>2</v>
      </c>
      <c r="J954" s="2">
        <v>14.99</v>
      </c>
      <c r="K954" s="2">
        <v>29.98</v>
      </c>
      <c r="L954">
        <v>3</v>
      </c>
      <c r="M954" t="str">
        <f>IF(Table1[[#This Row],[Customer Rating]]&gt;=3,"Good","Average")</f>
        <v>Good</v>
      </c>
    </row>
    <row r="955" spans="1:13" x14ac:dyDescent="0.25">
      <c r="A955" t="s">
        <v>1005</v>
      </c>
      <c r="B955" s="4">
        <v>45460</v>
      </c>
      <c r="C955" s="4" t="str">
        <f>TEXT(Table1[[#This Row],[Order Date]],"mmm")</f>
        <v>Jun</v>
      </c>
      <c r="D955" s="4" t="str">
        <f>TEXT(Table1[[#This Row],[Order Date]],"yyyy")</f>
        <v>2024</v>
      </c>
      <c r="E955" t="s">
        <v>16</v>
      </c>
      <c r="F955" t="s">
        <v>29</v>
      </c>
      <c r="G955" t="s">
        <v>112</v>
      </c>
      <c r="H955" t="s">
        <v>19</v>
      </c>
      <c r="I955">
        <v>3</v>
      </c>
      <c r="J955" s="2">
        <v>5.99</v>
      </c>
      <c r="K955" s="2">
        <v>17.97</v>
      </c>
      <c r="L955">
        <v>4</v>
      </c>
      <c r="M955" t="str">
        <f>IF(Table1[[#This Row],[Customer Rating]]&gt;=3,"Good","Average")</f>
        <v>Good</v>
      </c>
    </row>
    <row r="956" spans="1:13" x14ac:dyDescent="0.25">
      <c r="A956" t="s">
        <v>1006</v>
      </c>
      <c r="B956" s="4">
        <v>45914</v>
      </c>
      <c r="C956" s="4" t="str">
        <f>TEXT(Table1[[#This Row],[Order Date]],"mmm")</f>
        <v>Sep</v>
      </c>
      <c r="D956" s="4" t="str">
        <f>TEXT(Table1[[#This Row],[Order Date]],"yyyy")</f>
        <v>2025</v>
      </c>
      <c r="E956" t="s">
        <v>25</v>
      </c>
      <c r="F956" t="s">
        <v>29</v>
      </c>
      <c r="G956" t="s">
        <v>46</v>
      </c>
      <c r="H956" t="s">
        <v>14</v>
      </c>
      <c r="I956">
        <v>1</v>
      </c>
      <c r="J956" s="2">
        <v>32.99</v>
      </c>
      <c r="K956" s="2">
        <v>32.99</v>
      </c>
      <c r="L956">
        <v>5</v>
      </c>
      <c r="M956" t="str">
        <f>IF(Table1[[#This Row],[Customer Rating]]&gt;=3,"Good","Average")</f>
        <v>Good</v>
      </c>
    </row>
    <row r="957" spans="1:13" x14ac:dyDescent="0.25">
      <c r="A957" t="s">
        <v>1007</v>
      </c>
      <c r="B957" s="4">
        <v>45955</v>
      </c>
      <c r="C957" s="4" t="str">
        <f>TEXT(Table1[[#This Row],[Order Date]],"mmm")</f>
        <v>Oct</v>
      </c>
      <c r="D957" s="4" t="str">
        <f>TEXT(Table1[[#This Row],[Order Date]],"yyyy")</f>
        <v>2025</v>
      </c>
      <c r="E957" t="s">
        <v>25</v>
      </c>
      <c r="F957" t="s">
        <v>12</v>
      </c>
      <c r="G957" t="s">
        <v>13</v>
      </c>
      <c r="H957" t="s">
        <v>14</v>
      </c>
      <c r="I957">
        <v>1</v>
      </c>
      <c r="J957" s="2">
        <v>18.989999999999998</v>
      </c>
      <c r="K957" s="2">
        <v>18.989999999999998</v>
      </c>
      <c r="L957">
        <v>5</v>
      </c>
      <c r="M957" t="str">
        <f>IF(Table1[[#This Row],[Customer Rating]]&gt;=3,"Good","Average")</f>
        <v>Good</v>
      </c>
    </row>
    <row r="958" spans="1:13" x14ac:dyDescent="0.25">
      <c r="A958" t="s">
        <v>1008</v>
      </c>
      <c r="B958" s="4">
        <v>45870</v>
      </c>
      <c r="C958" s="4" t="str">
        <f>TEXT(Table1[[#This Row],[Order Date]],"mmm")</f>
        <v>Aug</v>
      </c>
      <c r="D958" s="4" t="str">
        <f>TEXT(Table1[[#This Row],[Order Date]],"yyyy")</f>
        <v>2025</v>
      </c>
      <c r="E958" t="s">
        <v>34</v>
      </c>
      <c r="F958" t="s">
        <v>29</v>
      </c>
      <c r="G958" t="s">
        <v>39</v>
      </c>
      <c r="H958" t="s">
        <v>14</v>
      </c>
      <c r="I958">
        <v>4</v>
      </c>
      <c r="J958" s="2">
        <v>24.99</v>
      </c>
      <c r="K958" s="2">
        <v>99.96</v>
      </c>
      <c r="L958">
        <v>3</v>
      </c>
      <c r="M958" t="str">
        <f>IF(Table1[[#This Row],[Customer Rating]]&gt;=3,"Good","Average")</f>
        <v>Good</v>
      </c>
    </row>
    <row r="959" spans="1:13" x14ac:dyDescent="0.25">
      <c r="A959" t="s">
        <v>1009</v>
      </c>
      <c r="B959" s="4">
        <v>45540</v>
      </c>
      <c r="C959" s="4" t="str">
        <f>TEXT(Table1[[#This Row],[Order Date]],"mmm")</f>
        <v>Sep</v>
      </c>
      <c r="D959" s="4" t="str">
        <f>TEXT(Table1[[#This Row],[Order Date]],"yyyy")</f>
        <v>2024</v>
      </c>
      <c r="E959" t="s">
        <v>11</v>
      </c>
      <c r="F959" t="s">
        <v>29</v>
      </c>
      <c r="G959" t="s">
        <v>46</v>
      </c>
      <c r="H959" t="s">
        <v>14</v>
      </c>
      <c r="I959">
        <v>3</v>
      </c>
      <c r="J959" s="2">
        <v>32.99</v>
      </c>
      <c r="K959" s="2">
        <v>98.97</v>
      </c>
      <c r="L959">
        <v>4</v>
      </c>
      <c r="M959" t="str">
        <f>IF(Table1[[#This Row],[Customer Rating]]&gt;=3,"Good","Average")</f>
        <v>Good</v>
      </c>
    </row>
    <row r="960" spans="1:13" x14ac:dyDescent="0.25">
      <c r="A960" t="s">
        <v>1010</v>
      </c>
      <c r="B960" s="4">
        <v>45628</v>
      </c>
      <c r="C960" s="4" t="str">
        <f>TEXT(Table1[[#This Row],[Order Date]],"mmm")</f>
        <v>Dec</v>
      </c>
      <c r="D960" s="4" t="str">
        <f>TEXT(Table1[[#This Row],[Order Date]],"yyyy")</f>
        <v>2024</v>
      </c>
      <c r="E960" t="s">
        <v>32</v>
      </c>
      <c r="F960" t="s">
        <v>12</v>
      </c>
      <c r="G960" t="s">
        <v>39</v>
      </c>
      <c r="H960" t="s">
        <v>14</v>
      </c>
      <c r="I960">
        <v>3</v>
      </c>
      <c r="J960" s="2">
        <v>24.99</v>
      </c>
      <c r="K960" s="2">
        <v>74.97</v>
      </c>
      <c r="L960">
        <v>4</v>
      </c>
      <c r="M960" t="str">
        <f>IF(Table1[[#This Row],[Customer Rating]]&gt;=3,"Good","Average")</f>
        <v>Good</v>
      </c>
    </row>
    <row r="961" spans="1:13" x14ac:dyDescent="0.25">
      <c r="A961" t="s">
        <v>1011</v>
      </c>
      <c r="B961" s="4">
        <v>45807</v>
      </c>
      <c r="C961" s="4" t="str">
        <f>TEXT(Table1[[#This Row],[Order Date]],"mmm")</f>
        <v>May</v>
      </c>
      <c r="D961" s="4" t="str">
        <f>TEXT(Table1[[#This Row],[Order Date]],"yyyy")</f>
        <v>2025</v>
      </c>
      <c r="E961" t="s">
        <v>11</v>
      </c>
      <c r="F961" t="s">
        <v>17</v>
      </c>
      <c r="G961" t="s">
        <v>39</v>
      </c>
      <c r="H961" t="s">
        <v>14</v>
      </c>
      <c r="I961">
        <v>1</v>
      </c>
      <c r="J961" s="2">
        <v>24.99</v>
      </c>
      <c r="K961" s="2">
        <v>24.99</v>
      </c>
      <c r="L961">
        <v>4</v>
      </c>
      <c r="M961" t="str">
        <f>IF(Table1[[#This Row],[Customer Rating]]&gt;=3,"Good","Average")</f>
        <v>Good</v>
      </c>
    </row>
    <row r="962" spans="1:13" x14ac:dyDescent="0.25">
      <c r="A962" t="s">
        <v>1012</v>
      </c>
      <c r="B962" s="4">
        <v>45402</v>
      </c>
      <c r="C962" s="4" t="str">
        <f>TEXT(Table1[[#This Row],[Order Date]],"mmm")</f>
        <v>Apr</v>
      </c>
      <c r="D962" s="4" t="str">
        <f>TEXT(Table1[[#This Row],[Order Date]],"yyyy")</f>
        <v>2024</v>
      </c>
      <c r="E962" t="s">
        <v>32</v>
      </c>
      <c r="F962" t="s">
        <v>17</v>
      </c>
      <c r="G962" t="s">
        <v>142</v>
      </c>
      <c r="H962" t="s">
        <v>23</v>
      </c>
      <c r="I962">
        <v>1</v>
      </c>
      <c r="J962" s="2">
        <v>14.99</v>
      </c>
      <c r="K962" s="2">
        <v>14.99</v>
      </c>
      <c r="L962">
        <v>3</v>
      </c>
      <c r="M962" t="str">
        <f>IF(Table1[[#This Row],[Customer Rating]]&gt;=3,"Good","Average")</f>
        <v>Good</v>
      </c>
    </row>
    <row r="963" spans="1:13" x14ac:dyDescent="0.25">
      <c r="A963" t="s">
        <v>1013</v>
      </c>
      <c r="B963" s="4">
        <v>45617</v>
      </c>
      <c r="C963" s="4" t="str">
        <f>TEXT(Table1[[#This Row],[Order Date]],"mmm")</f>
        <v>Nov</v>
      </c>
      <c r="D963" s="4" t="str">
        <f>TEXT(Table1[[#This Row],[Order Date]],"yyyy")</f>
        <v>2024</v>
      </c>
      <c r="E963" t="s">
        <v>25</v>
      </c>
      <c r="F963" t="s">
        <v>29</v>
      </c>
      <c r="G963" t="s">
        <v>50</v>
      </c>
      <c r="H963" t="s">
        <v>14</v>
      </c>
      <c r="I963">
        <v>1</v>
      </c>
      <c r="J963" s="2">
        <v>22.99</v>
      </c>
      <c r="K963" s="2">
        <v>22.99</v>
      </c>
      <c r="L963">
        <v>5</v>
      </c>
      <c r="M963" t="str">
        <f>IF(Table1[[#This Row],[Customer Rating]]&gt;=3,"Good","Average")</f>
        <v>Good</v>
      </c>
    </row>
    <row r="964" spans="1:13" x14ac:dyDescent="0.25">
      <c r="A964" t="s">
        <v>1014</v>
      </c>
      <c r="B964" s="4">
        <v>45717</v>
      </c>
      <c r="C964" s="4" t="str">
        <f>TEXT(Table1[[#This Row],[Order Date]],"mmm")</f>
        <v>Mar</v>
      </c>
      <c r="D964" s="4" t="str">
        <f>TEXT(Table1[[#This Row],[Order Date]],"yyyy")</f>
        <v>2025</v>
      </c>
      <c r="E964" t="s">
        <v>38</v>
      </c>
      <c r="F964" t="s">
        <v>17</v>
      </c>
      <c r="G964" t="s">
        <v>46</v>
      </c>
      <c r="H964" t="s">
        <v>14</v>
      </c>
      <c r="I964">
        <v>2</v>
      </c>
      <c r="J964" s="2">
        <v>32.99</v>
      </c>
      <c r="K964" s="2">
        <v>65.98</v>
      </c>
      <c r="L964">
        <v>3</v>
      </c>
      <c r="M964" t="str">
        <f>IF(Table1[[#This Row],[Customer Rating]]&gt;=3,"Good","Average")</f>
        <v>Good</v>
      </c>
    </row>
    <row r="965" spans="1:13" x14ac:dyDescent="0.25">
      <c r="A965" t="s">
        <v>1015</v>
      </c>
      <c r="B965" s="4">
        <v>45928</v>
      </c>
      <c r="C965" s="4" t="str">
        <f>TEXT(Table1[[#This Row],[Order Date]],"mmm")</f>
        <v>Sep</v>
      </c>
      <c r="D965" s="4" t="str">
        <f>TEXT(Table1[[#This Row],[Order Date]],"yyyy")</f>
        <v>2025</v>
      </c>
      <c r="E965" t="s">
        <v>32</v>
      </c>
      <c r="F965" t="s">
        <v>12</v>
      </c>
      <c r="G965" t="s">
        <v>57</v>
      </c>
      <c r="H965" t="s">
        <v>14</v>
      </c>
      <c r="I965">
        <v>2</v>
      </c>
      <c r="J965" s="2">
        <v>15.99</v>
      </c>
      <c r="K965" s="2">
        <v>31.98</v>
      </c>
      <c r="L965">
        <v>4</v>
      </c>
      <c r="M965" t="str">
        <f>IF(Table1[[#This Row],[Customer Rating]]&gt;=3,"Good","Average")</f>
        <v>Good</v>
      </c>
    </row>
    <row r="966" spans="1:13" x14ac:dyDescent="0.25">
      <c r="A966" t="s">
        <v>1016</v>
      </c>
      <c r="B966" s="4">
        <v>45966</v>
      </c>
      <c r="C966" s="4" t="str">
        <f>TEXT(Table1[[#This Row],[Order Date]],"mmm")</f>
        <v>Nov</v>
      </c>
      <c r="D966" s="4" t="str">
        <f>TEXT(Table1[[#This Row],[Order Date]],"yyyy")</f>
        <v>2025</v>
      </c>
      <c r="E966" t="s">
        <v>28</v>
      </c>
      <c r="F966" t="s">
        <v>12</v>
      </c>
      <c r="G966" t="s">
        <v>176</v>
      </c>
      <c r="H966" t="s">
        <v>67</v>
      </c>
      <c r="I966">
        <v>1</v>
      </c>
      <c r="J966" s="2">
        <v>11.99</v>
      </c>
      <c r="K966" s="2">
        <v>11.99</v>
      </c>
      <c r="L966">
        <v>4</v>
      </c>
      <c r="M966" t="str">
        <f>IF(Table1[[#This Row],[Customer Rating]]&gt;=3,"Good","Average")</f>
        <v>Good</v>
      </c>
    </row>
    <row r="967" spans="1:13" x14ac:dyDescent="0.25">
      <c r="A967" t="s">
        <v>1017</v>
      </c>
      <c r="B967" s="4">
        <v>45388</v>
      </c>
      <c r="C967" s="4" t="str">
        <f>TEXT(Table1[[#This Row],[Order Date]],"mmm")</f>
        <v>Apr</v>
      </c>
      <c r="D967" s="4" t="str">
        <f>TEXT(Table1[[#This Row],[Order Date]],"yyyy")</f>
        <v>2024</v>
      </c>
      <c r="E967" t="s">
        <v>25</v>
      </c>
      <c r="F967" t="s">
        <v>12</v>
      </c>
      <c r="G967" t="s">
        <v>74</v>
      </c>
      <c r="H967" t="s">
        <v>14</v>
      </c>
      <c r="I967">
        <v>3</v>
      </c>
      <c r="J967" s="2">
        <v>14.99</v>
      </c>
      <c r="K967" s="2">
        <v>44.97</v>
      </c>
      <c r="L967">
        <v>4</v>
      </c>
      <c r="M967" t="str">
        <f>IF(Table1[[#This Row],[Customer Rating]]&gt;=3,"Good","Average")</f>
        <v>Good</v>
      </c>
    </row>
    <row r="968" spans="1:13" x14ac:dyDescent="0.25">
      <c r="A968" t="s">
        <v>1018</v>
      </c>
      <c r="B968" s="4">
        <v>46012</v>
      </c>
      <c r="C968" s="4" t="str">
        <f>TEXT(Table1[[#This Row],[Order Date]],"mmm")</f>
        <v>Dec</v>
      </c>
      <c r="D968" s="4" t="str">
        <f>TEXT(Table1[[#This Row],[Order Date]],"yyyy")</f>
        <v>2025</v>
      </c>
      <c r="E968" t="s">
        <v>32</v>
      </c>
      <c r="F968" t="s">
        <v>29</v>
      </c>
      <c r="G968" t="s">
        <v>142</v>
      </c>
      <c r="H968" t="s">
        <v>23</v>
      </c>
      <c r="I968">
        <v>1</v>
      </c>
      <c r="J968" s="2">
        <v>14.99</v>
      </c>
      <c r="K968" s="2">
        <v>14.99</v>
      </c>
      <c r="L968">
        <v>3</v>
      </c>
      <c r="M968" t="str">
        <f>IF(Table1[[#This Row],[Customer Rating]]&gt;=3,"Good","Average")</f>
        <v>Good</v>
      </c>
    </row>
    <row r="969" spans="1:13" x14ac:dyDescent="0.25">
      <c r="A969" t="s">
        <v>1019</v>
      </c>
      <c r="B969" s="4">
        <v>45942</v>
      </c>
      <c r="C969" s="4" t="str">
        <f>TEXT(Table1[[#This Row],[Order Date]],"mmm")</f>
        <v>Oct</v>
      </c>
      <c r="D969" s="4" t="str">
        <f>TEXT(Table1[[#This Row],[Order Date]],"yyyy")</f>
        <v>2025</v>
      </c>
      <c r="E969" t="s">
        <v>38</v>
      </c>
      <c r="F969" t="s">
        <v>17</v>
      </c>
      <c r="G969" t="s">
        <v>41</v>
      </c>
      <c r="H969" t="s">
        <v>23</v>
      </c>
      <c r="I969">
        <v>1</v>
      </c>
      <c r="J969" s="2">
        <v>12.99</v>
      </c>
      <c r="K969" s="2">
        <v>12.99</v>
      </c>
      <c r="L969">
        <v>4</v>
      </c>
      <c r="M969" t="str">
        <f>IF(Table1[[#This Row],[Customer Rating]]&gt;=3,"Good","Average")</f>
        <v>Good</v>
      </c>
    </row>
    <row r="970" spans="1:13" x14ac:dyDescent="0.25">
      <c r="A970" t="s">
        <v>1020</v>
      </c>
      <c r="B970" s="4">
        <v>45480</v>
      </c>
      <c r="C970" s="4" t="str">
        <f>TEXT(Table1[[#This Row],[Order Date]],"mmm")</f>
        <v>Jul</v>
      </c>
      <c r="D970" s="4" t="str">
        <f>TEXT(Table1[[#This Row],[Order Date]],"yyyy")</f>
        <v>2024</v>
      </c>
      <c r="E970" t="s">
        <v>16</v>
      </c>
      <c r="F970" t="s">
        <v>29</v>
      </c>
      <c r="G970" t="s">
        <v>13</v>
      </c>
      <c r="H970" t="s">
        <v>14</v>
      </c>
      <c r="I970">
        <v>2</v>
      </c>
      <c r="J970" s="2">
        <v>18.989999999999998</v>
      </c>
      <c r="K970" s="2">
        <v>37.979999999999997</v>
      </c>
      <c r="L970">
        <v>5</v>
      </c>
      <c r="M970" t="str">
        <f>IF(Table1[[#This Row],[Customer Rating]]&gt;=3,"Good","Average")</f>
        <v>Good</v>
      </c>
    </row>
    <row r="971" spans="1:13" x14ac:dyDescent="0.25">
      <c r="A971" t="s">
        <v>1021</v>
      </c>
      <c r="B971" s="4">
        <v>45695</v>
      </c>
      <c r="C971" s="4" t="str">
        <f>TEXT(Table1[[#This Row],[Order Date]],"mmm")</f>
        <v>Feb</v>
      </c>
      <c r="D971" s="4" t="str">
        <f>TEXT(Table1[[#This Row],[Order Date]],"yyyy")</f>
        <v>2025</v>
      </c>
      <c r="E971" t="s">
        <v>28</v>
      </c>
      <c r="F971" t="s">
        <v>29</v>
      </c>
      <c r="G971" t="s">
        <v>30</v>
      </c>
      <c r="H971" t="s">
        <v>19</v>
      </c>
      <c r="I971">
        <v>1</v>
      </c>
      <c r="J971" s="2">
        <v>7.99</v>
      </c>
      <c r="K971" s="2">
        <v>7.99</v>
      </c>
      <c r="L971">
        <v>5</v>
      </c>
      <c r="M971" t="str">
        <f>IF(Table1[[#This Row],[Customer Rating]]&gt;=3,"Good","Average")</f>
        <v>Good</v>
      </c>
    </row>
    <row r="972" spans="1:13" x14ac:dyDescent="0.25">
      <c r="A972" t="s">
        <v>1022</v>
      </c>
      <c r="B972" s="4">
        <v>45773</v>
      </c>
      <c r="C972" s="4" t="str">
        <f>TEXT(Table1[[#This Row],[Order Date]],"mmm")</f>
        <v>Apr</v>
      </c>
      <c r="D972" s="4" t="str">
        <f>TEXT(Table1[[#This Row],[Order Date]],"yyyy")</f>
        <v>2025</v>
      </c>
      <c r="E972" t="s">
        <v>38</v>
      </c>
      <c r="F972" t="s">
        <v>17</v>
      </c>
      <c r="G972" t="s">
        <v>50</v>
      </c>
      <c r="H972" t="s">
        <v>14</v>
      </c>
      <c r="I972">
        <v>1</v>
      </c>
      <c r="J972" s="2">
        <v>22.99</v>
      </c>
      <c r="K972" s="2">
        <v>22.99</v>
      </c>
      <c r="L972">
        <v>5</v>
      </c>
      <c r="M972" t="str">
        <f>IF(Table1[[#This Row],[Customer Rating]]&gt;=3,"Good","Average")</f>
        <v>Good</v>
      </c>
    </row>
    <row r="973" spans="1:13" x14ac:dyDescent="0.25">
      <c r="A973" t="s">
        <v>1023</v>
      </c>
      <c r="B973" s="4">
        <v>45681</v>
      </c>
      <c r="C973" s="4" t="str">
        <f>TEXT(Table1[[#This Row],[Order Date]],"mmm")</f>
        <v>Jan</v>
      </c>
      <c r="D973" s="4" t="str">
        <f>TEXT(Table1[[#This Row],[Order Date]],"yyyy")</f>
        <v>2025</v>
      </c>
      <c r="E973" t="s">
        <v>25</v>
      </c>
      <c r="F973" t="s">
        <v>17</v>
      </c>
      <c r="G973" t="s">
        <v>79</v>
      </c>
      <c r="H973" t="s">
        <v>67</v>
      </c>
      <c r="I973">
        <v>4</v>
      </c>
      <c r="J973" s="2">
        <v>10.99</v>
      </c>
      <c r="K973" s="2">
        <v>43.96</v>
      </c>
      <c r="L973">
        <v>4</v>
      </c>
      <c r="M973" t="str">
        <f>IF(Table1[[#This Row],[Customer Rating]]&gt;=3,"Good","Average")</f>
        <v>Good</v>
      </c>
    </row>
    <row r="974" spans="1:13" x14ac:dyDescent="0.25">
      <c r="A974" t="s">
        <v>1024</v>
      </c>
      <c r="B974" s="4">
        <v>45594</v>
      </c>
      <c r="C974" s="4" t="str">
        <f>TEXT(Table1[[#This Row],[Order Date]],"mmm")</f>
        <v>Oct</v>
      </c>
      <c r="D974" s="4" t="str">
        <f>TEXT(Table1[[#This Row],[Order Date]],"yyyy")</f>
        <v>2024</v>
      </c>
      <c r="E974" t="s">
        <v>28</v>
      </c>
      <c r="F974" t="s">
        <v>29</v>
      </c>
      <c r="G974" t="s">
        <v>112</v>
      </c>
      <c r="H974" t="s">
        <v>19</v>
      </c>
      <c r="I974">
        <v>3</v>
      </c>
      <c r="J974" s="2">
        <v>5.99</v>
      </c>
      <c r="K974" s="2">
        <v>17.97</v>
      </c>
      <c r="L974">
        <v>5</v>
      </c>
      <c r="M974" t="str">
        <f>IF(Table1[[#This Row],[Customer Rating]]&gt;=3,"Good","Average")</f>
        <v>Good</v>
      </c>
    </row>
    <row r="975" spans="1:13" x14ac:dyDescent="0.25">
      <c r="A975" t="s">
        <v>1025</v>
      </c>
      <c r="B975" s="4">
        <v>45914</v>
      </c>
      <c r="C975" s="4" t="str">
        <f>TEXT(Table1[[#This Row],[Order Date]],"mmm")</f>
        <v>Sep</v>
      </c>
      <c r="D975" s="4" t="str">
        <f>TEXT(Table1[[#This Row],[Order Date]],"yyyy")</f>
        <v>2025</v>
      </c>
      <c r="E975" t="s">
        <v>16</v>
      </c>
      <c r="F975" t="s">
        <v>12</v>
      </c>
      <c r="G975" t="s">
        <v>22</v>
      </c>
      <c r="H975" t="s">
        <v>23</v>
      </c>
      <c r="I975">
        <v>3</v>
      </c>
      <c r="J975" s="2">
        <v>8.99</v>
      </c>
      <c r="K975" s="2">
        <v>26.97</v>
      </c>
      <c r="L975">
        <v>3</v>
      </c>
      <c r="M975" t="str">
        <f>IF(Table1[[#This Row],[Customer Rating]]&gt;=3,"Good","Average")</f>
        <v>Good</v>
      </c>
    </row>
    <row r="976" spans="1:13" x14ac:dyDescent="0.25">
      <c r="A976" t="s">
        <v>1026</v>
      </c>
      <c r="B976" s="4">
        <v>45779</v>
      </c>
      <c r="C976" s="4" t="str">
        <f>TEXT(Table1[[#This Row],[Order Date]],"mmm")</f>
        <v>May</v>
      </c>
      <c r="D976" s="4" t="str">
        <f>TEXT(Table1[[#This Row],[Order Date]],"yyyy")</f>
        <v>2025</v>
      </c>
      <c r="E976" t="s">
        <v>32</v>
      </c>
      <c r="F976" t="s">
        <v>29</v>
      </c>
      <c r="G976" t="s">
        <v>112</v>
      </c>
      <c r="H976" t="s">
        <v>19</v>
      </c>
      <c r="I976">
        <v>3</v>
      </c>
      <c r="J976" s="2">
        <v>5.99</v>
      </c>
      <c r="K976" s="2">
        <v>17.97</v>
      </c>
      <c r="L976">
        <v>5</v>
      </c>
      <c r="M976" t="str">
        <f>IF(Table1[[#This Row],[Customer Rating]]&gt;=3,"Good","Average")</f>
        <v>Good</v>
      </c>
    </row>
    <row r="977" spans="1:13" x14ac:dyDescent="0.25">
      <c r="A977" t="s">
        <v>1027</v>
      </c>
      <c r="B977" s="4">
        <v>45372</v>
      </c>
      <c r="C977" s="4" t="str">
        <f>TEXT(Table1[[#This Row],[Order Date]],"mmm")</f>
        <v>Mar</v>
      </c>
      <c r="D977" s="4" t="str">
        <f>TEXT(Table1[[#This Row],[Order Date]],"yyyy")</f>
        <v>2024</v>
      </c>
      <c r="E977" t="s">
        <v>11</v>
      </c>
      <c r="F977" t="s">
        <v>29</v>
      </c>
      <c r="G977" t="s">
        <v>26</v>
      </c>
      <c r="H977" t="s">
        <v>19</v>
      </c>
      <c r="I977">
        <v>1</v>
      </c>
      <c r="J977" s="2">
        <v>3.49</v>
      </c>
      <c r="K977" s="2">
        <v>3.49</v>
      </c>
      <c r="L977">
        <v>3</v>
      </c>
      <c r="M977" t="str">
        <f>IF(Table1[[#This Row],[Customer Rating]]&gt;=3,"Good","Average")</f>
        <v>Good</v>
      </c>
    </row>
    <row r="978" spans="1:13" x14ac:dyDescent="0.25">
      <c r="A978" t="s">
        <v>1028</v>
      </c>
      <c r="B978" s="4">
        <v>45982</v>
      </c>
      <c r="C978" s="4" t="str">
        <f>TEXT(Table1[[#This Row],[Order Date]],"mmm")</f>
        <v>Nov</v>
      </c>
      <c r="D978" s="4" t="str">
        <f>TEXT(Table1[[#This Row],[Order Date]],"yyyy")</f>
        <v>2025</v>
      </c>
      <c r="E978" t="s">
        <v>28</v>
      </c>
      <c r="F978" t="s">
        <v>29</v>
      </c>
      <c r="G978" t="s">
        <v>74</v>
      </c>
      <c r="H978" t="s">
        <v>14</v>
      </c>
      <c r="I978">
        <v>1</v>
      </c>
      <c r="J978" s="2">
        <v>14.99</v>
      </c>
      <c r="K978" s="2">
        <v>14.99</v>
      </c>
      <c r="L978">
        <v>5</v>
      </c>
      <c r="M978" t="str">
        <f>IF(Table1[[#This Row],[Customer Rating]]&gt;=3,"Good","Average")</f>
        <v>Good</v>
      </c>
    </row>
    <row r="979" spans="1:13" x14ac:dyDescent="0.25">
      <c r="A979" t="s">
        <v>1029</v>
      </c>
      <c r="B979" s="4">
        <v>45651</v>
      </c>
      <c r="C979" s="4" t="str">
        <f>TEXT(Table1[[#This Row],[Order Date]],"mmm")</f>
        <v>Dec</v>
      </c>
      <c r="D979" s="4" t="str">
        <f>TEXT(Table1[[#This Row],[Order Date]],"yyyy")</f>
        <v>2024</v>
      </c>
      <c r="E979" t="s">
        <v>28</v>
      </c>
      <c r="F979" t="s">
        <v>29</v>
      </c>
      <c r="G979" t="s">
        <v>221</v>
      </c>
      <c r="H979" t="s">
        <v>67</v>
      </c>
      <c r="I979">
        <v>1</v>
      </c>
      <c r="J979" s="2">
        <v>9.99</v>
      </c>
      <c r="K979" s="2">
        <v>9.99</v>
      </c>
      <c r="L979">
        <v>3</v>
      </c>
      <c r="M979" t="str">
        <f>IF(Table1[[#This Row],[Customer Rating]]&gt;=3,"Good","Average")</f>
        <v>Good</v>
      </c>
    </row>
    <row r="980" spans="1:13" x14ac:dyDescent="0.25">
      <c r="A980" t="s">
        <v>1030</v>
      </c>
      <c r="B980" s="4">
        <v>45750</v>
      </c>
      <c r="C980" s="4" t="str">
        <f>TEXT(Table1[[#This Row],[Order Date]],"mmm")</f>
        <v>Apr</v>
      </c>
      <c r="D980" s="4" t="str">
        <f>TEXT(Table1[[#This Row],[Order Date]],"yyyy")</f>
        <v>2025</v>
      </c>
      <c r="E980" t="s">
        <v>16</v>
      </c>
      <c r="F980" t="s">
        <v>12</v>
      </c>
      <c r="G980" t="s">
        <v>39</v>
      </c>
      <c r="H980" t="s">
        <v>14</v>
      </c>
      <c r="I980">
        <v>1</v>
      </c>
      <c r="J980" s="2">
        <v>24.99</v>
      </c>
      <c r="K980" s="2">
        <v>24.99</v>
      </c>
      <c r="L980">
        <v>1</v>
      </c>
      <c r="M980" t="str">
        <f>IF(Table1[[#This Row],[Customer Rating]]&gt;=3,"Good","Average")</f>
        <v>Average</v>
      </c>
    </row>
    <row r="981" spans="1:13" x14ac:dyDescent="0.25">
      <c r="A981" t="s">
        <v>1031</v>
      </c>
      <c r="B981" s="4">
        <v>45572</v>
      </c>
      <c r="C981" s="4" t="str">
        <f>TEXT(Table1[[#This Row],[Order Date]],"mmm")</f>
        <v>Oct</v>
      </c>
      <c r="D981" s="4" t="str">
        <f>TEXT(Table1[[#This Row],[Order Date]],"yyyy")</f>
        <v>2024</v>
      </c>
      <c r="E981" t="s">
        <v>34</v>
      </c>
      <c r="F981" t="s">
        <v>29</v>
      </c>
      <c r="G981" t="s">
        <v>69</v>
      </c>
      <c r="H981" t="s">
        <v>67</v>
      </c>
      <c r="I981">
        <v>1</v>
      </c>
      <c r="J981" s="2">
        <v>8.99</v>
      </c>
      <c r="K981" s="2">
        <v>8.99</v>
      </c>
      <c r="L981">
        <v>2</v>
      </c>
      <c r="M981" t="str">
        <f>IF(Table1[[#This Row],[Customer Rating]]&gt;=3,"Good","Average")</f>
        <v>Average</v>
      </c>
    </row>
    <row r="982" spans="1:13" x14ac:dyDescent="0.25">
      <c r="A982" t="s">
        <v>1032</v>
      </c>
      <c r="B982" s="4">
        <v>45836</v>
      </c>
      <c r="C982" s="4" t="str">
        <f>TEXT(Table1[[#This Row],[Order Date]],"mmm")</f>
        <v>Jun</v>
      </c>
      <c r="D982" s="4" t="str">
        <f>TEXT(Table1[[#This Row],[Order Date]],"yyyy")</f>
        <v>2025</v>
      </c>
      <c r="E982" t="s">
        <v>32</v>
      </c>
      <c r="F982" t="s">
        <v>12</v>
      </c>
      <c r="G982" t="s">
        <v>36</v>
      </c>
      <c r="H982" t="s">
        <v>14</v>
      </c>
      <c r="I982">
        <v>3</v>
      </c>
      <c r="J982" s="2">
        <v>16.989999999999998</v>
      </c>
      <c r="K982" s="2">
        <v>50.97</v>
      </c>
      <c r="L982">
        <v>5</v>
      </c>
      <c r="M982" t="str">
        <f>IF(Table1[[#This Row],[Customer Rating]]&gt;=3,"Good","Average")</f>
        <v>Good</v>
      </c>
    </row>
    <row r="983" spans="1:13" x14ac:dyDescent="0.25">
      <c r="A983" t="s">
        <v>1033</v>
      </c>
      <c r="B983" s="4">
        <v>45753</v>
      </c>
      <c r="C983" s="4" t="str">
        <f>TEXT(Table1[[#This Row],[Order Date]],"mmm")</f>
        <v>Apr</v>
      </c>
      <c r="D983" s="4" t="str">
        <f>TEXT(Table1[[#This Row],[Order Date]],"yyyy")</f>
        <v>2025</v>
      </c>
      <c r="E983" t="s">
        <v>21</v>
      </c>
      <c r="F983" t="s">
        <v>12</v>
      </c>
      <c r="G983" t="s">
        <v>13</v>
      </c>
      <c r="H983" t="s">
        <v>14</v>
      </c>
      <c r="I983">
        <v>2</v>
      </c>
      <c r="J983" s="2">
        <v>18.989999999999998</v>
      </c>
      <c r="K983" s="2">
        <v>37.979999999999997</v>
      </c>
      <c r="L983">
        <v>1</v>
      </c>
      <c r="M983" t="str">
        <f>IF(Table1[[#This Row],[Customer Rating]]&gt;=3,"Good","Average")</f>
        <v>Average</v>
      </c>
    </row>
    <row r="984" spans="1:13" x14ac:dyDescent="0.25">
      <c r="A984" t="s">
        <v>1034</v>
      </c>
      <c r="B984" s="4">
        <v>45961</v>
      </c>
      <c r="C984" s="4" t="str">
        <f>TEXT(Table1[[#This Row],[Order Date]],"mmm")</f>
        <v>Oct</v>
      </c>
      <c r="D984" s="4" t="str">
        <f>TEXT(Table1[[#This Row],[Order Date]],"yyyy")</f>
        <v>2025</v>
      </c>
      <c r="E984" t="s">
        <v>21</v>
      </c>
      <c r="F984" t="s">
        <v>12</v>
      </c>
      <c r="G984" t="s">
        <v>66</v>
      </c>
      <c r="H984" t="s">
        <v>67</v>
      </c>
      <c r="I984">
        <v>1</v>
      </c>
      <c r="J984" s="2">
        <v>7.99</v>
      </c>
      <c r="K984" s="2">
        <v>7.99</v>
      </c>
      <c r="L984">
        <v>4</v>
      </c>
      <c r="M984" t="str">
        <f>IF(Table1[[#This Row],[Customer Rating]]&gt;=3,"Good","Average")</f>
        <v>Good</v>
      </c>
    </row>
    <row r="985" spans="1:13" x14ac:dyDescent="0.25">
      <c r="A985" t="s">
        <v>1035</v>
      </c>
      <c r="B985" s="4">
        <v>45526</v>
      </c>
      <c r="C985" s="4" t="str">
        <f>TEXT(Table1[[#This Row],[Order Date]],"mmm")</f>
        <v>Aug</v>
      </c>
      <c r="D985" s="4" t="str">
        <f>TEXT(Table1[[#This Row],[Order Date]],"yyyy")</f>
        <v>2024</v>
      </c>
      <c r="E985" t="s">
        <v>34</v>
      </c>
      <c r="F985" t="s">
        <v>29</v>
      </c>
      <c r="G985" t="s">
        <v>74</v>
      </c>
      <c r="H985" t="s">
        <v>14</v>
      </c>
      <c r="I985">
        <v>2</v>
      </c>
      <c r="J985" s="2">
        <v>14.99</v>
      </c>
      <c r="K985" s="2">
        <v>29.98</v>
      </c>
      <c r="L985">
        <v>5</v>
      </c>
      <c r="M985" t="str">
        <f>IF(Table1[[#This Row],[Customer Rating]]&gt;=3,"Good","Average")</f>
        <v>Good</v>
      </c>
    </row>
    <row r="986" spans="1:13" x14ac:dyDescent="0.25">
      <c r="A986" t="s">
        <v>1036</v>
      </c>
      <c r="B986" s="4">
        <v>45668</v>
      </c>
      <c r="C986" s="4" t="str">
        <f>TEXT(Table1[[#This Row],[Order Date]],"mmm")</f>
        <v>Jan</v>
      </c>
      <c r="D986" s="4" t="str">
        <f>TEXT(Table1[[#This Row],[Order Date]],"yyyy")</f>
        <v>2025</v>
      </c>
      <c r="E986" t="s">
        <v>45</v>
      </c>
      <c r="F986" t="s">
        <v>29</v>
      </c>
      <c r="G986" t="s">
        <v>41</v>
      </c>
      <c r="H986" t="s">
        <v>23</v>
      </c>
      <c r="I986">
        <v>1</v>
      </c>
      <c r="J986" s="2">
        <v>12.99</v>
      </c>
      <c r="K986" s="2">
        <v>12.99</v>
      </c>
      <c r="L986">
        <v>3</v>
      </c>
      <c r="M986" t="str">
        <f>IF(Table1[[#This Row],[Customer Rating]]&gt;=3,"Good","Average")</f>
        <v>Good</v>
      </c>
    </row>
    <row r="987" spans="1:13" x14ac:dyDescent="0.25">
      <c r="A987" t="s">
        <v>1037</v>
      </c>
      <c r="B987" s="4">
        <v>45352</v>
      </c>
      <c r="C987" s="4" t="str">
        <f>TEXT(Table1[[#This Row],[Order Date]],"mmm")</f>
        <v>Mar</v>
      </c>
      <c r="D987" s="4" t="str">
        <f>TEXT(Table1[[#This Row],[Order Date]],"yyyy")</f>
        <v>2024</v>
      </c>
      <c r="E987" t="s">
        <v>16</v>
      </c>
      <c r="F987" t="s">
        <v>29</v>
      </c>
      <c r="G987" t="s">
        <v>39</v>
      </c>
      <c r="H987" t="s">
        <v>14</v>
      </c>
      <c r="I987">
        <v>2</v>
      </c>
      <c r="J987" s="2">
        <v>24.99</v>
      </c>
      <c r="K987" s="2">
        <v>49.98</v>
      </c>
      <c r="L987">
        <v>5</v>
      </c>
      <c r="M987" t="str">
        <f>IF(Table1[[#This Row],[Customer Rating]]&gt;=3,"Good","Average")</f>
        <v>Good</v>
      </c>
    </row>
    <row r="988" spans="1:13" x14ac:dyDescent="0.25">
      <c r="A988" t="s">
        <v>1038</v>
      </c>
      <c r="B988" s="4">
        <v>45999</v>
      </c>
      <c r="C988" s="4" t="str">
        <f>TEXT(Table1[[#This Row],[Order Date]],"mmm")</f>
        <v>Dec</v>
      </c>
      <c r="D988" s="4" t="str">
        <f>TEXT(Table1[[#This Row],[Order Date]],"yyyy")</f>
        <v>2025</v>
      </c>
      <c r="E988" t="s">
        <v>45</v>
      </c>
      <c r="F988" t="s">
        <v>17</v>
      </c>
      <c r="G988" t="s">
        <v>46</v>
      </c>
      <c r="H988" t="s">
        <v>14</v>
      </c>
      <c r="I988">
        <v>1</v>
      </c>
      <c r="J988" s="2">
        <v>32.99</v>
      </c>
      <c r="K988" s="2">
        <v>32.99</v>
      </c>
      <c r="L988">
        <v>5</v>
      </c>
      <c r="M988" t="str">
        <f>IF(Table1[[#This Row],[Customer Rating]]&gt;=3,"Good","Average")</f>
        <v>Good</v>
      </c>
    </row>
    <row r="989" spans="1:13" x14ac:dyDescent="0.25">
      <c r="A989" t="s">
        <v>1039</v>
      </c>
      <c r="B989" s="4">
        <v>45458</v>
      </c>
      <c r="C989" s="4" t="str">
        <f>TEXT(Table1[[#This Row],[Order Date]],"mmm")</f>
        <v>Jun</v>
      </c>
      <c r="D989" s="4" t="str">
        <f>TEXT(Table1[[#This Row],[Order Date]],"yyyy")</f>
        <v>2024</v>
      </c>
      <c r="E989" t="s">
        <v>32</v>
      </c>
      <c r="F989" t="s">
        <v>29</v>
      </c>
      <c r="G989" t="s">
        <v>74</v>
      </c>
      <c r="H989" t="s">
        <v>14</v>
      </c>
      <c r="I989">
        <v>2</v>
      </c>
      <c r="J989" s="2">
        <v>14.99</v>
      </c>
      <c r="K989" s="2">
        <v>29.98</v>
      </c>
      <c r="L989">
        <v>5</v>
      </c>
      <c r="M989" t="str">
        <f>IF(Table1[[#This Row],[Customer Rating]]&gt;=3,"Good","Average")</f>
        <v>Good</v>
      </c>
    </row>
    <row r="990" spans="1:13" x14ac:dyDescent="0.25">
      <c r="A990" t="s">
        <v>1040</v>
      </c>
      <c r="B990" s="4">
        <v>45423</v>
      </c>
      <c r="C990" s="4" t="str">
        <f>TEXT(Table1[[#This Row],[Order Date]],"mmm")</f>
        <v>May</v>
      </c>
      <c r="D990" s="4" t="str">
        <f>TEXT(Table1[[#This Row],[Order Date]],"yyyy")</f>
        <v>2024</v>
      </c>
      <c r="E990" t="s">
        <v>45</v>
      </c>
      <c r="F990" t="s">
        <v>12</v>
      </c>
      <c r="G990" t="s">
        <v>62</v>
      </c>
      <c r="H990" t="s">
        <v>23</v>
      </c>
      <c r="I990">
        <v>1</v>
      </c>
      <c r="J990" s="2">
        <v>9.99</v>
      </c>
      <c r="K990" s="2">
        <v>9.99</v>
      </c>
      <c r="L990">
        <v>4</v>
      </c>
      <c r="M990" t="str">
        <f>IF(Table1[[#This Row],[Customer Rating]]&gt;=3,"Good","Average")</f>
        <v>Good</v>
      </c>
    </row>
    <row r="991" spans="1:13" x14ac:dyDescent="0.25">
      <c r="A991" t="s">
        <v>1041</v>
      </c>
      <c r="B991" s="4">
        <v>45962</v>
      </c>
      <c r="C991" s="4" t="str">
        <f>TEXT(Table1[[#This Row],[Order Date]],"mmm")</f>
        <v>Nov</v>
      </c>
      <c r="D991" s="4" t="str">
        <f>TEXT(Table1[[#This Row],[Order Date]],"yyyy")</f>
        <v>2025</v>
      </c>
      <c r="E991" t="s">
        <v>28</v>
      </c>
      <c r="F991" t="s">
        <v>12</v>
      </c>
      <c r="G991" t="s">
        <v>221</v>
      </c>
      <c r="H991" t="s">
        <v>67</v>
      </c>
      <c r="I991">
        <v>1</v>
      </c>
      <c r="J991" s="2">
        <v>9.99</v>
      </c>
      <c r="K991" s="2">
        <v>9.99</v>
      </c>
      <c r="L991">
        <v>3</v>
      </c>
      <c r="M991" t="str">
        <f>IF(Table1[[#This Row],[Customer Rating]]&gt;=3,"Good","Average")</f>
        <v>Good</v>
      </c>
    </row>
    <row r="992" spans="1:13" x14ac:dyDescent="0.25">
      <c r="A992" t="s">
        <v>1042</v>
      </c>
      <c r="B992" s="4">
        <v>45899</v>
      </c>
      <c r="C992" s="4" t="str">
        <f>TEXT(Table1[[#This Row],[Order Date]],"mmm")</f>
        <v>Aug</v>
      </c>
      <c r="D992" s="4" t="str">
        <f>TEXT(Table1[[#This Row],[Order Date]],"yyyy")</f>
        <v>2025</v>
      </c>
      <c r="E992" t="s">
        <v>32</v>
      </c>
      <c r="F992" t="s">
        <v>29</v>
      </c>
      <c r="G992" t="s">
        <v>36</v>
      </c>
      <c r="H992" t="s">
        <v>14</v>
      </c>
      <c r="I992">
        <v>2</v>
      </c>
      <c r="J992" s="2">
        <v>16.989999999999998</v>
      </c>
      <c r="K992" s="2">
        <v>33.979999999999997</v>
      </c>
      <c r="L992">
        <v>5</v>
      </c>
      <c r="M992" t="str">
        <f>IF(Table1[[#This Row],[Customer Rating]]&gt;=3,"Good","Average")</f>
        <v>Good</v>
      </c>
    </row>
    <row r="993" spans="1:13" x14ac:dyDescent="0.25">
      <c r="A993" t="s">
        <v>1043</v>
      </c>
      <c r="B993" s="4">
        <v>45845</v>
      </c>
      <c r="C993" s="4" t="str">
        <f>TEXT(Table1[[#This Row],[Order Date]],"mmm")</f>
        <v>Jul</v>
      </c>
      <c r="D993" s="4" t="str">
        <f>TEXT(Table1[[#This Row],[Order Date]],"yyyy")</f>
        <v>2025</v>
      </c>
      <c r="E993" t="s">
        <v>21</v>
      </c>
      <c r="F993" t="s">
        <v>17</v>
      </c>
      <c r="G993" t="s">
        <v>57</v>
      </c>
      <c r="H993" t="s">
        <v>14</v>
      </c>
      <c r="I993">
        <v>3</v>
      </c>
      <c r="J993" s="2">
        <v>15.99</v>
      </c>
      <c r="K993" s="2">
        <v>47.97</v>
      </c>
      <c r="L993">
        <v>4</v>
      </c>
      <c r="M993" t="str">
        <f>IF(Table1[[#This Row],[Customer Rating]]&gt;=3,"Good","Average")</f>
        <v>Good</v>
      </c>
    </row>
    <row r="994" spans="1:13" x14ac:dyDescent="0.25">
      <c r="A994" t="s">
        <v>1044</v>
      </c>
      <c r="B994" s="4">
        <v>45481</v>
      </c>
      <c r="C994" s="4" t="str">
        <f>TEXT(Table1[[#This Row],[Order Date]],"mmm")</f>
        <v>Jul</v>
      </c>
      <c r="D994" s="4" t="str">
        <f>TEXT(Table1[[#This Row],[Order Date]],"yyyy")</f>
        <v>2024</v>
      </c>
      <c r="E994" t="s">
        <v>28</v>
      </c>
      <c r="F994" t="s">
        <v>29</v>
      </c>
      <c r="G994" t="s">
        <v>57</v>
      </c>
      <c r="H994" t="s">
        <v>14</v>
      </c>
      <c r="I994">
        <v>2</v>
      </c>
      <c r="J994" s="2">
        <v>15.99</v>
      </c>
      <c r="K994" s="2">
        <v>31.98</v>
      </c>
      <c r="L994">
        <v>2</v>
      </c>
      <c r="M994" t="str">
        <f>IF(Table1[[#This Row],[Customer Rating]]&gt;=3,"Good","Average")</f>
        <v>Average</v>
      </c>
    </row>
    <row r="995" spans="1:13" x14ac:dyDescent="0.25">
      <c r="A995" t="s">
        <v>1045</v>
      </c>
      <c r="B995" s="4">
        <v>45347</v>
      </c>
      <c r="C995" s="4" t="str">
        <f>TEXT(Table1[[#This Row],[Order Date]],"mmm")</f>
        <v>Feb</v>
      </c>
      <c r="D995" s="4" t="str">
        <f>TEXT(Table1[[#This Row],[Order Date]],"yyyy")</f>
        <v>2024</v>
      </c>
      <c r="E995" t="s">
        <v>32</v>
      </c>
      <c r="F995" t="s">
        <v>17</v>
      </c>
      <c r="G995" t="s">
        <v>57</v>
      </c>
      <c r="H995" t="s">
        <v>14</v>
      </c>
      <c r="I995">
        <v>1</v>
      </c>
      <c r="J995" s="2">
        <v>15.99</v>
      </c>
      <c r="K995" s="2">
        <v>15.99</v>
      </c>
      <c r="L995">
        <v>5</v>
      </c>
      <c r="M995" t="str">
        <f>IF(Table1[[#This Row],[Customer Rating]]&gt;=3,"Good","Average")</f>
        <v>Good</v>
      </c>
    </row>
    <row r="996" spans="1:13" x14ac:dyDescent="0.25">
      <c r="A996" t="s">
        <v>1046</v>
      </c>
      <c r="B996" s="4">
        <v>46003</v>
      </c>
      <c r="C996" s="4" t="str">
        <f>TEXT(Table1[[#This Row],[Order Date]],"mmm")</f>
        <v>Dec</v>
      </c>
      <c r="D996" s="4" t="str">
        <f>TEXT(Table1[[#This Row],[Order Date]],"yyyy")</f>
        <v>2025</v>
      </c>
      <c r="E996" t="s">
        <v>34</v>
      </c>
      <c r="F996" t="s">
        <v>29</v>
      </c>
      <c r="G996" t="s">
        <v>13</v>
      </c>
      <c r="H996" t="s">
        <v>14</v>
      </c>
      <c r="I996">
        <v>1</v>
      </c>
      <c r="J996" s="2">
        <v>18.989999999999998</v>
      </c>
      <c r="K996" s="2">
        <v>18.989999999999998</v>
      </c>
      <c r="L996">
        <v>4</v>
      </c>
      <c r="M996" t="str">
        <f>IF(Table1[[#This Row],[Customer Rating]]&gt;=3,"Good","Average")</f>
        <v>Good</v>
      </c>
    </row>
    <row r="997" spans="1:13" x14ac:dyDescent="0.25">
      <c r="A997" t="s">
        <v>1047</v>
      </c>
      <c r="B997" s="4">
        <v>45418</v>
      </c>
      <c r="C997" s="4" t="str">
        <f>TEXT(Table1[[#This Row],[Order Date]],"mmm")</f>
        <v>May</v>
      </c>
      <c r="D997" s="4" t="str">
        <f>TEXT(Table1[[#This Row],[Order Date]],"yyyy")</f>
        <v>2024</v>
      </c>
      <c r="E997" t="s">
        <v>11</v>
      </c>
      <c r="F997" t="s">
        <v>29</v>
      </c>
      <c r="G997" t="s">
        <v>221</v>
      </c>
      <c r="H997" t="s">
        <v>67</v>
      </c>
      <c r="I997">
        <v>3</v>
      </c>
      <c r="J997" s="2">
        <v>9.99</v>
      </c>
      <c r="K997" s="2">
        <v>29.97</v>
      </c>
      <c r="L997">
        <v>3</v>
      </c>
      <c r="M997" t="str">
        <f>IF(Table1[[#This Row],[Customer Rating]]&gt;=3,"Good","Average")</f>
        <v>Good</v>
      </c>
    </row>
    <row r="998" spans="1:13" x14ac:dyDescent="0.25">
      <c r="A998" t="s">
        <v>1048</v>
      </c>
      <c r="B998" s="4">
        <v>45379</v>
      </c>
      <c r="C998" s="4" t="str">
        <f>TEXT(Table1[[#This Row],[Order Date]],"mmm")</f>
        <v>Mar</v>
      </c>
      <c r="D998" s="4" t="str">
        <f>TEXT(Table1[[#This Row],[Order Date]],"yyyy")</f>
        <v>2024</v>
      </c>
      <c r="E998" t="s">
        <v>11</v>
      </c>
      <c r="F998" t="s">
        <v>17</v>
      </c>
      <c r="G998" t="s">
        <v>57</v>
      </c>
      <c r="H998" t="s">
        <v>14</v>
      </c>
      <c r="I998">
        <v>1</v>
      </c>
      <c r="J998" s="2">
        <v>15.99</v>
      </c>
      <c r="K998" s="2">
        <v>15.99</v>
      </c>
      <c r="L998">
        <v>3</v>
      </c>
      <c r="M998" t="str">
        <f>IF(Table1[[#This Row],[Customer Rating]]&gt;=3,"Good","Average")</f>
        <v>Good</v>
      </c>
    </row>
    <row r="999" spans="1:13" x14ac:dyDescent="0.25">
      <c r="A999" t="s">
        <v>1049</v>
      </c>
      <c r="B999" s="4">
        <v>45620</v>
      </c>
      <c r="C999" s="4" t="str">
        <f>TEXT(Table1[[#This Row],[Order Date]],"mmm")</f>
        <v>Nov</v>
      </c>
      <c r="D999" s="4" t="str">
        <f>TEXT(Table1[[#This Row],[Order Date]],"yyyy")</f>
        <v>2024</v>
      </c>
      <c r="E999" t="s">
        <v>11</v>
      </c>
      <c r="F999" t="s">
        <v>17</v>
      </c>
      <c r="G999" t="s">
        <v>13</v>
      </c>
      <c r="H999" t="s">
        <v>14</v>
      </c>
      <c r="I999">
        <v>1</v>
      </c>
      <c r="J999" s="2">
        <v>18.989999999999998</v>
      </c>
      <c r="K999" s="2">
        <v>18.989999999999998</v>
      </c>
      <c r="L999">
        <v>5</v>
      </c>
      <c r="M999" t="str">
        <f>IF(Table1[[#This Row],[Customer Rating]]&gt;=3,"Good","Average")</f>
        <v>Good</v>
      </c>
    </row>
    <row r="1000" spans="1:13" x14ac:dyDescent="0.25">
      <c r="A1000" t="s">
        <v>1050</v>
      </c>
      <c r="B1000" s="4">
        <v>45893</v>
      </c>
      <c r="C1000" s="4" t="str">
        <f>TEXT(Table1[[#This Row],[Order Date]],"mmm")</f>
        <v>Aug</v>
      </c>
      <c r="D1000" s="4" t="str">
        <f>TEXT(Table1[[#This Row],[Order Date]],"yyyy")</f>
        <v>2025</v>
      </c>
      <c r="E1000" t="s">
        <v>21</v>
      </c>
      <c r="F1000" t="s">
        <v>29</v>
      </c>
      <c r="G1000" t="s">
        <v>69</v>
      </c>
      <c r="H1000" t="s">
        <v>67</v>
      </c>
      <c r="I1000">
        <v>2</v>
      </c>
      <c r="J1000" s="2">
        <v>8.99</v>
      </c>
      <c r="K1000" s="2">
        <v>17.98</v>
      </c>
      <c r="L1000">
        <v>5</v>
      </c>
      <c r="M1000" t="str">
        <f>IF(Table1[[#This Row],[Customer Rating]]&gt;=3,"Good","Average")</f>
        <v>Good</v>
      </c>
    </row>
    <row r="1001" spans="1:13" x14ac:dyDescent="0.25">
      <c r="A1001" t="s">
        <v>1051</v>
      </c>
      <c r="B1001" s="4">
        <v>45771</v>
      </c>
      <c r="C1001" s="4" t="str">
        <f>TEXT(Table1[[#This Row],[Order Date]],"mmm")</f>
        <v>Apr</v>
      </c>
      <c r="D1001" s="4" t="str">
        <f>TEXT(Table1[[#This Row],[Order Date]],"yyyy")</f>
        <v>2025</v>
      </c>
      <c r="E1001" t="s">
        <v>25</v>
      </c>
      <c r="F1001" t="s">
        <v>29</v>
      </c>
      <c r="G1001" t="s">
        <v>46</v>
      </c>
      <c r="H1001" t="s">
        <v>14</v>
      </c>
      <c r="I1001">
        <v>1</v>
      </c>
      <c r="J1001" s="2">
        <v>32.99</v>
      </c>
      <c r="K1001" s="2">
        <v>32.99</v>
      </c>
      <c r="L1001">
        <v>4</v>
      </c>
      <c r="M1001" t="str">
        <f>IF(Table1[[#This Row],[Customer Rating]]&gt;=3,"Good","Average")</f>
        <v>Good</v>
      </c>
    </row>
  </sheetData>
  <mergeCells count="1">
    <mergeCell ref="O16:P16"/>
  </mergeCells>
  <phoneticPr fontId="5" type="noConversion"/>
  <dataValidations count="2">
    <dataValidation type="list" allowBlank="1" showInputMessage="1" showErrorMessage="1" sqref="P1 R2:R7 R10:R11" xr:uid="{F7269F9F-7D46-4D02-9192-889F2A74DDC8}">
      <formula1>$A$1:$A$1001</formula1>
    </dataValidation>
    <dataValidation type="list" allowBlank="1" showInputMessage="1" showErrorMessage="1" sqref="R9 O19" xr:uid="{721BDF4D-1331-4616-9CB3-A7B263C0E414}">
      <formula1>$E$1:$E$1001</formula1>
    </dataValidation>
  </dataValidations>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tabSelected="1" zoomScaleNormal="10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Sheet1</vt:lpstr>
      <vt:lpstr>Sheet2</vt:lpstr>
      <vt:lpstr>Sheet3</vt:lpstr>
      <vt:lpstr>Sheet4</vt:lpstr>
      <vt:lpstr>Sheet5</vt:lpstr>
      <vt:lpstr>Sheet8</vt:lpstr>
      <vt:lpstr>Sheet7</vt:lpstr>
      <vt:lpstr>Sheet9</vt:lpstr>
      <vt:lpstr>Restaurant Sales</vt:lpstr>
      <vt:lpstr>Dashboard</vt:lpstr>
      <vt:lpstr>mydata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Sonam Keche</cp:lastModifiedBy>
  <dcterms:created xsi:type="dcterms:W3CDTF">2026-03-11T02:30:28Z</dcterms:created>
  <dcterms:modified xsi:type="dcterms:W3CDTF">2026-09-15T05:36:13Z</dcterms:modified>
</cp:coreProperties>
</file>
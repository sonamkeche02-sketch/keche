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Override PartName="/xl/charts/colors8.xml" ContentType="application/vnd.ms-office.chartcolorstyle+xml"/>
  <Override PartName="/xl/charts/style8.xml" ContentType="application/vnd.ms-office.chartstyle+xml"/>
  <Override PartName="/xl/charts/colors9.xml" ContentType="application/vnd.ms-office.chartcolorstyle+xml"/>
  <Override PartName="/xl/charts/style9.xml" ContentType="application/vnd.ms-office.chartstyle+xml"/>
  <Override PartName="/xl/charts/colors10.xml" ContentType="application/vnd.ms-office.chartcolorstyle+xml"/>
  <Override PartName="/xl/charts/style1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3250" windowHeight="12570" activeTab="3"/>
  </bookViews>
  <sheets>
    <sheet name="Total price" sheetId="3" r:id="rId1"/>
    <sheet name=" Comparison month wise" sheetId="5" r:id="rId2"/>
    <sheet name="Dashboard" sheetId="8" r:id="rId3"/>
    <sheet name="Age wise" sheetId="6" r:id="rId4"/>
    <sheet name="Top 10" sheetId="9" r:id="rId5"/>
    <sheet name="Quantity" sheetId="10" r:id="rId6"/>
    <sheet name="SuperMarket Sales" sheetId="2" r:id="rId7"/>
  </sheets>
  <definedNames>
    <definedName name="Slicer_Age">#N/A</definedName>
    <definedName name="Slicer_Customer_Name">#N/A</definedName>
    <definedName name="Slicer_month">#N/A</definedName>
    <definedName name="Slicer_Total__USD">#N/A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J59" i="2" l="1"/>
  <c r="K59" i="2" s="1"/>
  <c r="J58" i="2"/>
  <c r="K58" i="2" s="1"/>
  <c r="J57" i="2"/>
  <c r="K57" i="2" s="1"/>
  <c r="J56" i="2"/>
  <c r="K56" i="2" s="1"/>
  <c r="J55" i="2"/>
  <c r="K55" i="2" s="1"/>
  <c r="J54" i="2"/>
  <c r="K54" i="2" s="1"/>
  <c r="J53" i="2"/>
  <c r="K53" i="2" s="1"/>
  <c r="J52" i="2"/>
  <c r="K52" i="2" s="1"/>
  <c r="J51" i="2"/>
  <c r="K51" i="2" s="1"/>
  <c r="J50" i="2"/>
  <c r="K50" i="2" s="1"/>
  <c r="J49" i="2"/>
  <c r="K49" i="2" s="1"/>
  <c r="J48" i="2"/>
  <c r="K48" i="2" s="1"/>
  <c r="J47" i="2"/>
  <c r="K47" i="2" s="1"/>
  <c r="J46" i="2"/>
  <c r="K46" i="2" s="1"/>
  <c r="J45" i="2"/>
  <c r="K45" i="2" s="1"/>
  <c r="J44" i="2"/>
  <c r="K44" i="2" s="1"/>
  <c r="J43" i="2"/>
  <c r="K43" i="2" s="1"/>
  <c r="J42" i="2"/>
  <c r="K42" i="2" s="1"/>
  <c r="J41" i="2"/>
  <c r="K41" i="2" s="1"/>
  <c r="J40" i="2"/>
  <c r="K40" i="2" s="1"/>
  <c r="J39" i="2"/>
  <c r="K39" i="2" s="1"/>
  <c r="J38" i="2"/>
  <c r="K38" i="2" s="1"/>
  <c r="J37" i="2"/>
  <c r="K37" i="2" s="1"/>
  <c r="J36" i="2"/>
  <c r="K36" i="2" s="1"/>
  <c r="J35" i="2"/>
  <c r="K35" i="2" s="1"/>
  <c r="J34" i="2"/>
  <c r="K34" i="2" s="1"/>
  <c r="J33" i="2"/>
  <c r="K33" i="2" s="1"/>
  <c r="J32" i="2"/>
  <c r="K32" i="2" s="1"/>
  <c r="J31" i="2"/>
  <c r="K31" i="2" s="1"/>
  <c r="J30" i="2"/>
  <c r="K30" i="2" s="1"/>
  <c r="J29" i="2"/>
  <c r="K29" i="2" s="1"/>
  <c r="J28" i="2"/>
  <c r="K28" i="2" s="1"/>
  <c r="J27" i="2"/>
  <c r="K27" i="2" s="1"/>
  <c r="J26" i="2"/>
  <c r="K26" i="2" s="1"/>
  <c r="J25" i="2"/>
  <c r="K25" i="2" s="1"/>
  <c r="J24" i="2"/>
  <c r="K24" i="2" s="1"/>
  <c r="J23" i="2"/>
  <c r="K23" i="2" s="1"/>
  <c r="J22" i="2"/>
  <c r="K22" i="2" s="1"/>
  <c r="J21" i="2"/>
  <c r="K21" i="2" s="1"/>
  <c r="J20" i="2"/>
  <c r="K20" i="2" s="1"/>
  <c r="J19" i="2"/>
  <c r="K19" i="2" s="1"/>
  <c r="J18" i="2"/>
  <c r="K18" i="2" s="1"/>
  <c r="J17" i="2"/>
  <c r="K17" i="2" s="1"/>
  <c r="J16" i="2"/>
  <c r="K16" i="2" s="1"/>
  <c r="J15" i="2"/>
  <c r="K15" i="2" s="1"/>
  <c r="J14" i="2"/>
  <c r="K14" i="2" s="1"/>
  <c r="J13" i="2"/>
  <c r="K13" i="2" s="1"/>
  <c r="J12" i="2"/>
  <c r="K12" i="2" s="1"/>
  <c r="J11" i="2"/>
  <c r="K11" i="2" s="1"/>
  <c r="J10" i="2"/>
  <c r="K10" i="2" s="1"/>
  <c r="J9" i="2"/>
  <c r="K9" i="2" l="1"/>
</calcChain>
</file>

<file path=xl/sharedStrings.xml><?xml version="1.0" encoding="utf-8"?>
<sst xmlns="http://schemas.openxmlformats.org/spreadsheetml/2006/main" count="197" uniqueCount="125">
  <si>
    <t>Excel Sample Data</t>
  </si>
  <si>
    <t>Supermarket Sales Data</t>
  </si>
  <si>
    <t>Tax</t>
  </si>
  <si>
    <t>Order No</t>
  </si>
  <si>
    <t>Order Date</t>
  </si>
  <si>
    <t>Customer Name</t>
  </si>
  <si>
    <t>Ship Date</t>
  </si>
  <si>
    <t>Retail Price (USD)</t>
  </si>
  <si>
    <t>Order Quantity</t>
  </si>
  <si>
    <t>Tax (USD)</t>
  </si>
  <si>
    <t>Total (USD)</t>
  </si>
  <si>
    <t>1001</t>
  </si>
  <si>
    <t>John Smith</t>
  </si>
  <si>
    <t>1002</t>
  </si>
  <si>
    <t>Jane Doe</t>
  </si>
  <si>
    <t>1003</t>
  </si>
  <si>
    <t>Michael Johnson</t>
  </si>
  <si>
    <t>1004</t>
  </si>
  <si>
    <t>Emily Brown</t>
  </si>
  <si>
    <t>1005</t>
  </si>
  <si>
    <t>David Wilson</t>
  </si>
  <si>
    <t>1006</t>
  </si>
  <si>
    <t>Lisa Taylor</t>
  </si>
  <si>
    <t>1007</t>
  </si>
  <si>
    <t>Daniel Martinez</t>
  </si>
  <si>
    <t>1008</t>
  </si>
  <si>
    <t>Sarah Anderson</t>
  </si>
  <si>
    <t>1009</t>
  </si>
  <si>
    <t>Christopher Thomas</t>
  </si>
  <si>
    <t>1010</t>
  </si>
  <si>
    <t>Kimberly Garcia</t>
  </si>
  <si>
    <t>1011</t>
  </si>
  <si>
    <t>William Hernandez</t>
  </si>
  <si>
    <t>1012</t>
  </si>
  <si>
    <t>Melissa Lopez</t>
  </si>
  <si>
    <t>1013</t>
  </si>
  <si>
    <t>Richard Perez</t>
  </si>
  <si>
    <t>1014</t>
  </si>
  <si>
    <t>Jessica Gonzalez</t>
  </si>
  <si>
    <t>1015</t>
  </si>
  <si>
    <t>Matthew Wilson</t>
  </si>
  <si>
    <t>1016</t>
  </si>
  <si>
    <t>Amanda Martinez</t>
  </si>
  <si>
    <t>1017</t>
  </si>
  <si>
    <t>James Johnson</t>
  </si>
  <si>
    <t>1018</t>
  </si>
  <si>
    <t>Laura Brown</t>
  </si>
  <si>
    <t>1019</t>
  </si>
  <si>
    <t>Daniel Smith</t>
  </si>
  <si>
    <t>1020</t>
  </si>
  <si>
    <t>Jennifer Davis</t>
  </si>
  <si>
    <t>1021</t>
  </si>
  <si>
    <t>Michael Garcia</t>
  </si>
  <si>
    <t>1022</t>
  </si>
  <si>
    <t>Amy Hernandez</t>
  </si>
  <si>
    <t>1023</t>
  </si>
  <si>
    <t>Christopher Rodriguez</t>
  </si>
  <si>
    <t>1024</t>
  </si>
  <si>
    <t>Jessica Martinez</t>
  </si>
  <si>
    <t>1026</t>
  </si>
  <si>
    <t>Sarah Smith</t>
  </si>
  <si>
    <t>1027</t>
  </si>
  <si>
    <t>Matthew Johnson</t>
  </si>
  <si>
    <t>1028</t>
  </si>
  <si>
    <t>Emily Davis</t>
  </si>
  <si>
    <t>1029</t>
  </si>
  <si>
    <t>Daniel Wilson</t>
  </si>
  <si>
    <t>1030</t>
  </si>
  <si>
    <t>Jennifer Martinez</t>
  </si>
  <si>
    <t>1031</t>
  </si>
  <si>
    <t>Michael Smith</t>
  </si>
  <si>
    <t>1032</t>
  </si>
  <si>
    <t>Jessica Johnson</t>
  </si>
  <si>
    <t>1033</t>
  </si>
  <si>
    <t>David Brown</t>
  </si>
  <si>
    <t>1034</t>
  </si>
  <si>
    <t>Sarah Garcia</t>
  </si>
  <si>
    <t>1035</t>
  </si>
  <si>
    <t>Matthew Hernandez</t>
  </si>
  <si>
    <t>1036</t>
  </si>
  <si>
    <t>Emily Rodriguez</t>
  </si>
  <si>
    <t>1037</t>
  </si>
  <si>
    <t>Daniel Davis</t>
  </si>
  <si>
    <t>1038</t>
  </si>
  <si>
    <t>Jennifer Smith</t>
  </si>
  <si>
    <t>1042</t>
  </si>
  <si>
    <t>Sarah Johnson</t>
  </si>
  <si>
    <t>1043</t>
  </si>
  <si>
    <t>Matthew Garcia</t>
  </si>
  <si>
    <t>1045</t>
  </si>
  <si>
    <t>Daniel Hernandez</t>
  </si>
  <si>
    <t>1047</t>
  </si>
  <si>
    <t>Michael Martinez</t>
  </si>
  <si>
    <t>1048</t>
  </si>
  <si>
    <t>Jessica Wilson</t>
  </si>
  <si>
    <t>1049</t>
  </si>
  <si>
    <t>David Rodriguez</t>
  </si>
  <si>
    <t>1050</t>
  </si>
  <si>
    <t>Sarah Gonzalez</t>
  </si>
  <si>
    <t>1051</t>
  </si>
  <si>
    <t>Matthew Smith</t>
  </si>
  <si>
    <t>1052</t>
  </si>
  <si>
    <t>Emily Johnson</t>
  </si>
  <si>
    <t>1053</t>
  </si>
  <si>
    <t>Daniel Brown</t>
  </si>
  <si>
    <t>1054</t>
  </si>
  <si>
    <t>Jennifer Hernandez</t>
  </si>
  <si>
    <t>1055</t>
  </si>
  <si>
    <t>Michael Davis</t>
  </si>
  <si>
    <t>1056</t>
  </si>
  <si>
    <t>Jessica Smith</t>
  </si>
  <si>
    <t>1057</t>
  </si>
  <si>
    <t>David Martinez</t>
  </si>
  <si>
    <t>Sum of Total (USD)</t>
  </si>
  <si>
    <t>Row Labels</t>
  </si>
  <si>
    <t>Jan</t>
  </si>
  <si>
    <t>Feb</t>
  </si>
  <si>
    <t>Age</t>
  </si>
  <si>
    <t>month</t>
  </si>
  <si>
    <t>Sum of Retail Price (USD)</t>
  </si>
  <si>
    <t>Sum of Tax (USD)</t>
  </si>
  <si>
    <t>20-34</t>
  </si>
  <si>
    <t>35-50</t>
  </si>
  <si>
    <t>Sum of Order Quantity</t>
  </si>
  <si>
    <t>(All)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</si>
</sst>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409]* #,##0.00_ ;_-[$$-409]* \-#,##0.00\ ;_-[$$-409]* &quot;-&quot;??_ ;_-@_ "/>
    <numFmt numFmtId="165" formatCode="_-[$$-409]* #,##0_ ;_-[$$-409]* \-#,##0\ ;_-[$$-409]* &quot;-&quot;??_ ;_-@_ "/>
  </numFmts>
  <fonts count="8">
    <font>
      <sz val="11"/>
      <color theme="1"/>
      <name val="Aptos Narrow"/>
      <family val="2"/>
      <scheme val="minor"/>
    </font>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b/>
      <sz val="11"/>
      <color rgb="FF000000"/>
      <name val="Calibri"/>
      <family val="2"/>
    </font>
  </fonts>
  <fills count="4">
    <fill>
      <patternFill patternType="none"/>
    </fill>
    <fill>
      <patternFill patternType="gray125"/>
    </fill>
    <fill>
      <patternFill patternType="solid">
        <fgColor rgb="FFD9E1F2"/>
        <bgColor indexed="64"/>
      </patternFill>
    </fill>
    <fill>
      <patternFill patternType="solid">
        <fgColor rgb="FF272760"/>
        <bgColor indexed="64"/>
      </patternFill>
    </fill>
  </fills>
  <borders count="6">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diagonal/>
    </border>
    <border>
      <left style="thin">
        <color rgb="FFD9D9D9"/>
      </left>
      <right/>
      <top style="thin">
        <color rgb="FFD9D9D9"/>
      </top>
      <bottom style="thin">
        <color rgb="FFD9D9D9"/>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2" fillId="2" borderId="1" xfId="0" applyFont="1" applyFill="1" applyBorder="1" applyAlignment="1">
      <alignment horizontal="centerContinuous" vertical="center"/>
    </xf>
    <xf numFmtId="0" fontId="3" fillId="0" borderId="0" xfId="0" applyFont="1"/>
    <xf numFmtId="0" fontId="4" fillId="2" borderId="1" xfId="0" applyFont="1" applyFill="1" applyBorder="1" applyAlignment="1">
      <alignment horizontal="centerContinuous" vertical="center"/>
    </xf>
    <xf numFmtId="0" fontId="5" fillId="3" borderId="2" xfId="0" applyFont="1" applyFill="1" applyBorder="1" applyAlignment="1">
      <alignment horizontal="center" vertical="center"/>
    </xf>
    <xf numFmtId="9" fontId="6" fillId="0" borderId="2" xfId="1" applyFont="1" applyBorder="1" applyAlignment="1">
      <alignment vertical="center"/>
    </xf>
    <xf numFmtId="0" fontId="6" fillId="0" borderId="2" xfId="0" applyFont="1" applyBorder="1" applyAlignment="1">
      <alignment vertical="center"/>
    </xf>
    <xf numFmtId="14" fontId="6" fillId="0" borderId="2" xfId="0" applyNumberFormat="1" applyFont="1" applyBorder="1" applyAlignment="1">
      <alignment vertical="center"/>
    </xf>
    <xf numFmtId="0" fontId="5" fillId="3" borderId="3" xfId="0" applyFont="1" applyFill="1" applyBorder="1" applyAlignment="1">
      <alignment horizontal="center" vertical="center"/>
    </xf>
    <xf numFmtId="0" fontId="6" fillId="0" borderId="3" xfId="0" applyFont="1" applyBorder="1" applyAlignment="1">
      <alignment vertical="center"/>
    </xf>
    <xf numFmtId="0" fontId="5" fillId="3" borderId="4" xfId="0" applyFont="1" applyFill="1" applyBorder="1" applyAlignment="1">
      <alignment horizontal="center" vertical="center"/>
    </xf>
    <xf numFmtId="0" fontId="6" fillId="0" borderId="5" xfId="0" applyFont="1" applyBorder="1" applyAlignment="1">
      <alignment vertic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5" fontId="7" fillId="0" borderId="2" xfId="0" applyNumberFormat="1" applyFont="1" applyBorder="1" applyAlignment="1">
      <alignment vertical="center"/>
    </xf>
    <xf numFmtId="0" fontId="0" fillId="0" borderId="0" xfId="0" applyNumberFormat="1"/>
    <xf numFmtId="0" fontId="0" fillId="0" borderId="0" xfId="0" applyAlignment="1">
      <alignment horizontal="center"/>
    </xf>
  </cellXfs>
  <cellStyles count="2">
    <cellStyle name="Normal" xfId="0" builtinId="0"/>
    <cellStyle name="Percent" xfId="1" builtinId="5"/>
  </cellStyles>
  <dxfs count="34">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style="thin">
          <color rgb="FFD9D9D9"/>
        </left>
        <right/>
        <top style="thin">
          <color rgb="FFD9D9D9"/>
        </top>
        <bottom/>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numFmt numFmtId="19" formatCode="dd/mm/yyyy"/>
      <alignment horizontal="general" vertical="center" textRotation="0" wrapText="0" indent="0" justifyLastLine="0" shrinkToFit="0" readingOrder="0"/>
      <border diagonalUp="0" diagonalDown="0" outline="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scheme val="none"/>
      </font>
      <numFmt numFmtId="19" formatCode="dd/mm/yyyy"/>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numFmt numFmtId="19" formatCode="dd/mm/yyyy"/>
      <alignment horizontal="general" vertical="center" textRotation="0" wrapText="0" indent="0" justifyLastLine="0" shrinkToFit="0" readingOrder="0"/>
      <border diagonalUp="0" diagonalDown="0" outline="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scheme val="none"/>
      </font>
      <numFmt numFmtId="19" formatCode="dd/mm/yyyy"/>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numFmt numFmtId="19" formatCode="dd/mm/yyyy"/>
      <alignment horizontal="general" vertical="center" textRotation="0" wrapText="0" indent="0" justifyLastLine="0" shrinkToFit="0" readingOrder="0"/>
      <border diagonalUp="0" diagonalDown="0" outline="0">
        <left style="thin">
          <color rgb="FFD9D9D9"/>
        </left>
        <right style="thin">
          <color rgb="FFD9D9D9"/>
        </right>
        <top style="thin">
          <color rgb="FFD9D9D9"/>
        </top>
        <bottom/>
      </border>
    </dxf>
    <dxf>
      <font>
        <b val="0"/>
        <i val="0"/>
        <strike val="0"/>
        <condense val="0"/>
        <extend val="0"/>
        <outline val="0"/>
        <shadow val="0"/>
        <u val="none"/>
        <vertAlign val="baseline"/>
        <sz val="11"/>
        <color rgb="FF000000"/>
        <name val="Calibri"/>
        <scheme val="none"/>
      </font>
      <numFmt numFmtId="19" formatCode="dd/mm/yyyy"/>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right style="thin">
          <color rgb="FFD9D9D9"/>
        </right>
        <top style="thin">
          <color rgb="FFD9D9D9"/>
        </top>
        <bottom/>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left style="thin">
          <color rgb="FFD9D9D9"/>
        </left>
        <right style="thin">
          <color rgb="FFD9D9D9"/>
        </right>
        <bottom style="thin">
          <color rgb="FFD9D9D9"/>
        </bottom>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b/>
        <i val="0"/>
        <strike val="0"/>
        <condense val="0"/>
        <extend val="0"/>
        <outline val="0"/>
        <shadow val="0"/>
        <u val="none"/>
        <vertAlign val="baseline"/>
        <sz val="12"/>
        <color rgb="FFFFFFFF"/>
        <name val="Calibri"/>
        <scheme val="none"/>
      </font>
      <fill>
        <patternFill patternType="solid">
          <fgColor indexed="64"/>
          <bgColor rgb="FF272760"/>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(Dashboard).xlsx]Total price!PivotTable1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'Total price'!$B$3</c:f>
              <c:strCache>
                <c:ptCount val="1"/>
                <c:pt idx="0">
                  <c:v>Total</c:v>
                </c:pt>
              </c:strCache>
            </c:strRef>
          </c:tx>
          <c:spPr>
            <a:ln w="28575" cap="rnd">
              <a:solidFill>
                <a:schemeClr val="accent1"/>
              </a:solidFill>
              <a:round/>
            </a:ln>
            <a:effectLst/>
          </c:spPr>
          <c:marker>
            <c:symbol val="none"/>
          </c:marker>
          <c:cat>
            <c:strRef>
              <c:f>'Total price'!$A$4:$A$54</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'Total price'!$B$4:$B$54</c:f>
              <c:numCache>
                <c:formatCode>_-[$$-409]* #,##0_ ;_-[$$-409]* \-#,##0\ ;_-[$$-409]* "-"??_ ;_-@_ </c:formatCode>
                <c:ptCount val="51"/>
                <c:pt idx="0">
                  <c:v>164.989</c:v>
                </c:pt>
                <c:pt idx="1">
                  <c:v>164.96699999999998</c:v>
                </c:pt>
                <c:pt idx="2">
                  <c:v>142.989</c:v>
                </c:pt>
                <c:pt idx="3">
                  <c:v>98.98899999999999</c:v>
                </c:pt>
                <c:pt idx="4">
                  <c:v>153.97799999999998</c:v>
                </c:pt>
                <c:pt idx="5">
                  <c:v>219.989</c:v>
                </c:pt>
                <c:pt idx="6">
                  <c:v>131.96699999999998</c:v>
                </c:pt>
                <c:pt idx="7">
                  <c:v>148.5</c:v>
                </c:pt>
                <c:pt idx="8">
                  <c:v>219.989</c:v>
                </c:pt>
                <c:pt idx="9">
                  <c:v>164.94499999999999</c:v>
                </c:pt>
                <c:pt idx="10">
                  <c:v>87.955999999999989</c:v>
                </c:pt>
                <c:pt idx="11">
                  <c:v>175.97799999999998</c:v>
                </c:pt>
                <c:pt idx="12">
                  <c:v>164.96699999999998</c:v>
                </c:pt>
                <c:pt idx="13">
                  <c:v>164.989</c:v>
                </c:pt>
                <c:pt idx="14">
                  <c:v>87.955999999999989</c:v>
                </c:pt>
                <c:pt idx="15">
                  <c:v>219.989</c:v>
                </c:pt>
                <c:pt idx="16">
                  <c:v>164.989</c:v>
                </c:pt>
                <c:pt idx="17">
                  <c:v>131.96699999999998</c:v>
                </c:pt>
                <c:pt idx="18">
                  <c:v>153.97799999999998</c:v>
                </c:pt>
                <c:pt idx="19">
                  <c:v>32.988999999999997</c:v>
                </c:pt>
                <c:pt idx="20">
                  <c:v>164.94499999999999</c:v>
                </c:pt>
                <c:pt idx="21">
                  <c:v>131.96699999999998</c:v>
                </c:pt>
                <c:pt idx="22">
                  <c:v>175.97799999999998</c:v>
                </c:pt>
                <c:pt idx="23">
                  <c:v>164.94499999999999</c:v>
                </c:pt>
                <c:pt idx="24">
                  <c:v>142.989</c:v>
                </c:pt>
                <c:pt idx="25">
                  <c:v>142.989</c:v>
                </c:pt>
                <c:pt idx="26">
                  <c:v>87.955999999999989</c:v>
                </c:pt>
                <c:pt idx="27">
                  <c:v>164.94499999999999</c:v>
                </c:pt>
                <c:pt idx="28">
                  <c:v>175.97799999999998</c:v>
                </c:pt>
                <c:pt idx="29">
                  <c:v>109.97800000000001</c:v>
                </c:pt>
                <c:pt idx="30">
                  <c:v>219.989</c:v>
                </c:pt>
                <c:pt idx="31">
                  <c:v>131.96699999999998</c:v>
                </c:pt>
                <c:pt idx="32">
                  <c:v>175.97799999999998</c:v>
                </c:pt>
                <c:pt idx="33">
                  <c:v>164.989</c:v>
                </c:pt>
                <c:pt idx="34">
                  <c:v>153.97799999999998</c:v>
                </c:pt>
                <c:pt idx="35">
                  <c:v>131.96699999999998</c:v>
                </c:pt>
                <c:pt idx="36">
                  <c:v>87.955999999999989</c:v>
                </c:pt>
                <c:pt idx="37">
                  <c:v>87.955999999999989</c:v>
                </c:pt>
                <c:pt idx="38">
                  <c:v>175.97799999999998</c:v>
                </c:pt>
                <c:pt idx="39">
                  <c:v>219.989</c:v>
                </c:pt>
                <c:pt idx="40">
                  <c:v>175.97799999999998</c:v>
                </c:pt>
                <c:pt idx="41">
                  <c:v>329.96699999999998</c:v>
                </c:pt>
                <c:pt idx="42">
                  <c:v>164.94499999999999</c:v>
                </c:pt>
                <c:pt idx="43">
                  <c:v>164.96699999999998</c:v>
                </c:pt>
                <c:pt idx="44">
                  <c:v>164.96699999999998</c:v>
                </c:pt>
                <c:pt idx="45">
                  <c:v>153.97799999999998</c:v>
                </c:pt>
                <c:pt idx="46">
                  <c:v>164.989</c:v>
                </c:pt>
                <c:pt idx="47">
                  <c:v>142.989</c:v>
                </c:pt>
                <c:pt idx="48">
                  <c:v>87.955999999999989</c:v>
                </c:pt>
                <c:pt idx="49">
                  <c:v>153.97799999999998</c:v>
                </c:pt>
                <c:pt idx="50">
                  <c:v>164.94499999999999</c:v>
                </c:pt>
              </c:numCache>
            </c:numRef>
          </c:val>
          <c:smooth val="0"/>
          <c:extLst xmlns:c16r2="http://schemas.microsoft.com/office/drawing/2015/06/chart">
            <c:ext xmlns:c16="http://schemas.microsoft.com/office/drawing/2014/chart" uri="{C3380CC4-5D6E-409C-BE32-E72D297353CC}">
              <c16:uniqueId val="{00000000-3652-4661-8497-20F5B4F352F4}"/>
            </c:ext>
          </c:extLst>
        </c:ser>
        <c:dLbls>
          <c:showLegendKey val="0"/>
          <c:showVal val="0"/>
          <c:showCatName val="0"/>
          <c:showSerName val="0"/>
          <c:showPercent val="0"/>
          <c:showBubbleSize val="0"/>
        </c:dLbls>
        <c:marker val="1"/>
        <c:smooth val="0"/>
        <c:axId val="211296640"/>
        <c:axId val="211298176"/>
      </c:lineChart>
      <c:catAx>
        <c:axId val="21129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98176"/>
        <c:crosses val="autoZero"/>
        <c:auto val="1"/>
        <c:lblAlgn val="ctr"/>
        <c:lblOffset val="100"/>
        <c:noMultiLvlLbl val="0"/>
      </c:catAx>
      <c:valAx>
        <c:axId val="211298176"/>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96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 Comparison month wise!PivotTable1</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3">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8.1041229140993667E-2"/>
          <c:y val="0.12346380890114367"/>
          <c:w val="0.85875851668431236"/>
          <c:h val="0.59583905802388415"/>
        </c:manualLayout>
      </c:layout>
      <c:barChart>
        <c:barDir val="col"/>
        <c:grouping val="clustered"/>
        <c:varyColors val="0"/>
        <c:ser>
          <c:idx val="0"/>
          <c:order val="0"/>
          <c:tx>
            <c:strRef>
              <c:f>' Comparison month wise'!$B$3</c:f>
              <c:strCache>
                <c:ptCount val="1"/>
                <c:pt idx="0">
                  <c:v>Sum of Retail Price (USD)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dLbls>
          <c:cat>
            <c:strRef>
              <c:f>' Comparison month wise'!$A$4:$A$5</c:f>
              <c:strCache>
                <c:ptCount val="2"/>
                <c:pt idx="0">
                  <c:v>Jan</c:v>
                </c:pt>
                <c:pt idx="1">
                  <c:v>Feb</c:v>
                </c:pt>
              </c:strCache>
            </c:strRef>
          </c:cat>
          <c:val>
            <c:numRef>
              <c:f>' Comparison month wise'!$B$4:$B$5</c:f>
              <c:numCache>
                <c:formatCode>_-[$$-409]* #,##0_ ;_-[$$-409]* \-#,##0\ ;_-[$$-409]* "-"??_ ;_-@_ </c:formatCode>
                <c:ptCount val="2"/>
                <c:pt idx="0">
                  <c:v>5214.3899999999921</c:v>
                </c:pt>
                <c:pt idx="1">
                  <c:v>699.92000000000007</c:v>
                </c:pt>
              </c:numCache>
            </c:numRef>
          </c:val>
          <c:extLst xmlns:c16r2="http://schemas.microsoft.com/office/drawing/2015/06/chart">
            <c:ext xmlns:c16="http://schemas.microsoft.com/office/drawing/2014/chart" uri="{C3380CC4-5D6E-409C-BE32-E72D297353CC}">
              <c16:uniqueId val="{00000007-9B29-4A53-A668-624EE6233EBA}"/>
            </c:ext>
          </c:extLst>
        </c:ser>
        <c:ser>
          <c:idx val="1"/>
          <c:order val="1"/>
          <c:tx>
            <c:strRef>
              <c:f>' Comparison month wise'!$C$3</c:f>
              <c:strCache>
                <c:ptCount val="1"/>
                <c:pt idx="0">
                  <c:v>Sum of Tax (USD)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dLbls>
          <c:cat>
            <c:strRef>
              <c:f>' Comparison month wise'!$A$4:$A$5</c:f>
              <c:strCache>
                <c:ptCount val="2"/>
                <c:pt idx="0">
                  <c:v>Jan</c:v>
                </c:pt>
                <c:pt idx="1">
                  <c:v>Feb</c:v>
                </c:pt>
              </c:strCache>
            </c:strRef>
          </c:cat>
          <c:val>
            <c:numRef>
              <c:f>' Comparison month wise'!$C$4:$C$5</c:f>
              <c:numCache>
                <c:formatCode>_-[$$-409]* #,##0_ ;_-[$$-409]* \-#,##0\ ;_-[$$-409]* "-"??_ ;_-@_ </c:formatCode>
                <c:ptCount val="2"/>
                <c:pt idx="0">
                  <c:v>874.35500000000036</c:v>
                </c:pt>
                <c:pt idx="1">
                  <c:v>113.97999999999999</c:v>
                </c:pt>
              </c:numCache>
            </c:numRef>
          </c:val>
          <c:extLst xmlns:c16r2="http://schemas.microsoft.com/office/drawing/2015/06/chart">
            <c:ext xmlns:c16="http://schemas.microsoft.com/office/drawing/2014/chart" uri="{C3380CC4-5D6E-409C-BE32-E72D297353CC}">
              <c16:uniqueId val="{00000008-9B29-4A53-A668-624EE6233EBA}"/>
            </c:ext>
          </c:extLst>
        </c:ser>
        <c:ser>
          <c:idx val="2"/>
          <c:order val="2"/>
          <c:tx>
            <c:strRef>
              <c:f>' Comparison month wise'!$D$3</c:f>
              <c:strCache>
                <c:ptCount val="1"/>
                <c:pt idx="0">
                  <c:v>Sum of Total (USD)</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dLbls>
          <c:cat>
            <c:strRef>
              <c:f>' Comparison month wise'!$A$4:$A$5</c:f>
              <c:strCache>
                <c:ptCount val="2"/>
                <c:pt idx="0">
                  <c:v>Jan</c:v>
                </c:pt>
                <c:pt idx="1">
                  <c:v>Feb</c:v>
                </c:pt>
              </c:strCache>
            </c:strRef>
          </c:cat>
          <c:val>
            <c:numRef>
              <c:f>' Comparison month wise'!$D$4:$D$5</c:f>
              <c:numCache>
                <c:formatCode>_-[$$-409]* #,##0_ ;_-[$$-409]* \-#,##0\ ;_-[$$-409]* "-"??_ ;_-@_ </c:formatCode>
                <c:ptCount val="2"/>
                <c:pt idx="0">
                  <c:v>9617.9049999999934</c:v>
                </c:pt>
                <c:pt idx="1">
                  <c:v>1253.78</c:v>
                </c:pt>
              </c:numCache>
            </c:numRef>
          </c:val>
          <c:extLst xmlns:c16r2="http://schemas.microsoft.com/office/drawing/2015/06/chart">
            <c:ext xmlns:c16="http://schemas.microsoft.com/office/drawing/2014/chart" uri="{C3380CC4-5D6E-409C-BE32-E72D297353CC}">
              <c16:uniqueId val="{00000009-9B29-4A53-A668-624EE6233EBA}"/>
            </c:ext>
          </c:extLst>
        </c:ser>
        <c:dLbls>
          <c:dLblPos val="inEnd"/>
          <c:showLegendKey val="0"/>
          <c:showVal val="1"/>
          <c:showCatName val="0"/>
          <c:showSerName val="0"/>
          <c:showPercent val="0"/>
          <c:showBubbleSize val="0"/>
        </c:dLbls>
        <c:gapWidth val="65"/>
        <c:axId val="210511360"/>
        <c:axId val="210512896"/>
      </c:barChart>
      <c:catAx>
        <c:axId val="210511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0512896"/>
        <c:crosses val="autoZero"/>
        <c:auto val="1"/>
        <c:lblAlgn val="ctr"/>
        <c:lblOffset val="100"/>
        <c:noMultiLvlLbl val="0"/>
      </c:catAx>
      <c:valAx>
        <c:axId val="2105128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_);\(#,##0\)" sourceLinked="0"/>
        <c:majorTickMark val="none"/>
        <c:minorTickMark val="none"/>
        <c:tickLblPos val="nextTo"/>
        <c:crossAx val="210511360"/>
        <c:crosses val="autoZero"/>
        <c:crossBetween val="between"/>
      </c:valAx>
      <c:spPr>
        <a:noFill/>
        <a:ln>
          <a:noFill/>
        </a:ln>
        <a:effectLst/>
      </c:spPr>
    </c:plotArea>
    <c:legend>
      <c:legendPos val="r"/>
      <c:layout>
        <c:manualLayout>
          <c:xMode val="edge"/>
          <c:yMode val="edge"/>
          <c:x val="0.22479803911358989"/>
          <c:y val="0.84470248980610274"/>
          <c:w val="0.47381646354979118"/>
          <c:h val="0.1552976717663758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 Comparison month wise!PivotTable1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0"/>
              <a:t>Retail</a:t>
            </a:r>
            <a:r>
              <a:rPr lang="en-IN" sz="1400" b="0" baseline="0"/>
              <a:t> Price vs Tax vs Total Price </a:t>
            </a:r>
            <a:endParaRPr lang="en-IN" sz="1400" b="0"/>
          </a:p>
        </c:rich>
      </c:tx>
      <c:layout>
        <c:manualLayout>
          <c:xMode val="edge"/>
          <c:yMode val="edge"/>
          <c:x val="0.14340713938172872"/>
          <c:y val="2.0045819014891181E-2"/>
        </c:manualLayout>
      </c:layout>
      <c:overlay val="0"/>
      <c:spPr>
        <a:noFill/>
        <a:ln>
          <a:noFill/>
        </a:ln>
        <a:effectLst/>
      </c:sp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rgbClr val="002060">
              <a:alpha val="85000"/>
            </a:srgbClr>
          </a:solidFill>
          <a:ln w="9525" cap="flat" cmpd="sng" algn="ctr">
            <a:solidFill>
              <a:schemeClr val="lt1">
                <a:alpha val="50000"/>
              </a:schemeClr>
            </a:solidFill>
            <a:round/>
          </a:ln>
          <a:effectLst/>
          <a:scene3d>
            <a:camera prst="orthographicFront"/>
            <a:lightRig rig="threePt" dir="t"/>
          </a:scene3d>
          <a:sp3d prstMaterial="matte">
            <a:bevelT w="63500" h="63500" prst="artDeco"/>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3">
              <a:lumMod val="75000"/>
              <a:alpha val="85000"/>
            </a:schemeClr>
          </a:solidFill>
          <a:ln w="9525" cap="flat" cmpd="sng" algn="ctr">
            <a:solidFill>
              <a:schemeClr val="lt1">
                <a:alpha val="50000"/>
              </a:schemeClr>
            </a:solidFill>
            <a:round/>
          </a:ln>
          <a:effectLst/>
          <a:scene3d>
            <a:camera prst="orthographicFront"/>
            <a:lightRig rig="threePt" dir="t"/>
          </a:scene3d>
          <a:sp3d prstMaterial="matte">
            <a:bevelT w="63500" h="63500" prst="artDeco"/>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4.1452983460202868E-2"/>
          <c:y val="0.10341793616004186"/>
          <c:w val="0.90230547191102295"/>
          <c:h val="0.64452178658080106"/>
        </c:manualLayout>
      </c:layout>
      <c:barChart>
        <c:barDir val="col"/>
        <c:grouping val="clustered"/>
        <c:varyColors val="0"/>
        <c:ser>
          <c:idx val="0"/>
          <c:order val="0"/>
          <c:tx>
            <c:strRef>
              <c:f>' Comparison month wise'!$B$3</c:f>
              <c:strCache>
                <c:ptCount val="1"/>
                <c:pt idx="0">
                  <c:v>Sum of Retail Price (USD)</c:v>
                </c:pt>
              </c:strCache>
            </c:strRef>
          </c:tx>
          <c:spPr>
            <a:solidFill>
              <a:srgbClr val="002060">
                <a:alpha val="85000"/>
              </a:srgbClr>
            </a:solidFill>
            <a:ln w="9525" cap="flat" cmpd="sng" algn="ctr">
              <a:solidFill>
                <a:schemeClr val="lt1">
                  <a:alpha val="50000"/>
                </a:schemeClr>
              </a:solidFill>
              <a:round/>
            </a:ln>
            <a:effectLst/>
            <a:scene3d>
              <a:camera prst="orthographicFront"/>
              <a:lightRig rig="threePt" dir="t"/>
            </a:scene3d>
            <a:sp3d prstMaterial="matte">
              <a:bevelT w="63500" h="63500" prst="artDeco"/>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 Comparison month wise'!$A$4:$A$5</c:f>
              <c:strCache>
                <c:ptCount val="2"/>
                <c:pt idx="0">
                  <c:v>Jan</c:v>
                </c:pt>
                <c:pt idx="1">
                  <c:v>Feb</c:v>
                </c:pt>
              </c:strCache>
            </c:strRef>
          </c:cat>
          <c:val>
            <c:numRef>
              <c:f>' Comparison month wise'!$B$4:$B$5</c:f>
              <c:numCache>
                <c:formatCode>_-[$$-409]* #,##0_ ;_-[$$-409]* \-#,##0\ ;_-[$$-409]* "-"??_ ;_-@_ </c:formatCode>
                <c:ptCount val="2"/>
                <c:pt idx="0">
                  <c:v>5214.3899999999921</c:v>
                </c:pt>
                <c:pt idx="1">
                  <c:v>699.92000000000007</c:v>
                </c:pt>
              </c:numCache>
            </c:numRef>
          </c:val>
          <c:extLst xmlns:c16r2="http://schemas.microsoft.com/office/drawing/2015/06/chart">
            <c:ext xmlns:c16="http://schemas.microsoft.com/office/drawing/2014/chart" uri="{C3380CC4-5D6E-409C-BE32-E72D297353CC}">
              <c16:uniqueId val="{00000000-C78B-4476-AB03-A8C5678D366E}"/>
            </c:ext>
          </c:extLst>
        </c:ser>
        <c:ser>
          <c:idx val="1"/>
          <c:order val="1"/>
          <c:tx>
            <c:strRef>
              <c:f>' Comparison month wise'!$C$3</c:f>
              <c:strCache>
                <c:ptCount val="1"/>
                <c:pt idx="0">
                  <c:v>Sum of Tax (USD)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 Comparison month wise'!$A$4:$A$5</c:f>
              <c:strCache>
                <c:ptCount val="2"/>
                <c:pt idx="0">
                  <c:v>Jan</c:v>
                </c:pt>
                <c:pt idx="1">
                  <c:v>Feb</c:v>
                </c:pt>
              </c:strCache>
            </c:strRef>
          </c:cat>
          <c:val>
            <c:numRef>
              <c:f>' Comparison month wise'!$C$4:$C$5</c:f>
              <c:numCache>
                <c:formatCode>_-[$$-409]* #,##0_ ;_-[$$-409]* \-#,##0\ ;_-[$$-409]* "-"??_ ;_-@_ </c:formatCode>
                <c:ptCount val="2"/>
                <c:pt idx="0">
                  <c:v>874.35500000000036</c:v>
                </c:pt>
                <c:pt idx="1">
                  <c:v>113.97999999999999</c:v>
                </c:pt>
              </c:numCache>
            </c:numRef>
          </c:val>
          <c:extLst xmlns:c16r2="http://schemas.microsoft.com/office/drawing/2015/06/chart">
            <c:ext xmlns:c16="http://schemas.microsoft.com/office/drawing/2014/chart" uri="{C3380CC4-5D6E-409C-BE32-E72D297353CC}">
              <c16:uniqueId val="{00000001-C78B-4476-AB03-A8C5678D366E}"/>
            </c:ext>
          </c:extLst>
        </c:ser>
        <c:ser>
          <c:idx val="2"/>
          <c:order val="2"/>
          <c:tx>
            <c:strRef>
              <c:f>' Comparison month wise'!$D$3</c:f>
              <c:strCache>
                <c:ptCount val="1"/>
                <c:pt idx="0">
                  <c:v>Sum of Total (USD)</c:v>
                </c:pt>
              </c:strCache>
            </c:strRef>
          </c:tx>
          <c:spPr>
            <a:solidFill>
              <a:schemeClr val="accent3">
                <a:lumMod val="75000"/>
                <a:alpha val="85000"/>
              </a:schemeClr>
            </a:solidFill>
            <a:ln w="9525" cap="flat" cmpd="sng" algn="ctr">
              <a:solidFill>
                <a:schemeClr val="lt1">
                  <a:alpha val="50000"/>
                </a:schemeClr>
              </a:solidFill>
              <a:round/>
            </a:ln>
            <a:effectLst/>
            <a:scene3d>
              <a:camera prst="orthographicFront"/>
              <a:lightRig rig="threePt" dir="t"/>
            </a:scene3d>
            <a:sp3d prstMaterial="matte">
              <a:bevelT w="63500" h="63500" prst="artDeco"/>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 Comparison month wise'!$A$4:$A$5</c:f>
              <c:strCache>
                <c:ptCount val="2"/>
                <c:pt idx="0">
                  <c:v>Jan</c:v>
                </c:pt>
                <c:pt idx="1">
                  <c:v>Feb</c:v>
                </c:pt>
              </c:strCache>
            </c:strRef>
          </c:cat>
          <c:val>
            <c:numRef>
              <c:f>' Comparison month wise'!$D$4:$D$5</c:f>
              <c:numCache>
                <c:formatCode>_-[$$-409]* #,##0_ ;_-[$$-409]* \-#,##0\ ;_-[$$-409]* "-"??_ ;_-@_ </c:formatCode>
                <c:ptCount val="2"/>
                <c:pt idx="0">
                  <c:v>9617.9049999999934</c:v>
                </c:pt>
                <c:pt idx="1">
                  <c:v>1253.78</c:v>
                </c:pt>
              </c:numCache>
            </c:numRef>
          </c:val>
          <c:extLst xmlns:c16r2="http://schemas.microsoft.com/office/drawing/2015/06/chart">
            <c:ext xmlns:c16="http://schemas.microsoft.com/office/drawing/2014/chart" uri="{C3380CC4-5D6E-409C-BE32-E72D297353CC}">
              <c16:uniqueId val="{00000002-C78B-4476-AB03-A8C5678D366E}"/>
            </c:ext>
          </c:extLst>
        </c:ser>
        <c:dLbls>
          <c:dLblPos val="outEnd"/>
          <c:showLegendKey val="0"/>
          <c:showVal val="1"/>
          <c:showCatName val="0"/>
          <c:showSerName val="0"/>
          <c:showPercent val="0"/>
          <c:showBubbleSize val="0"/>
        </c:dLbls>
        <c:gapWidth val="65"/>
        <c:axId val="210673024"/>
        <c:axId val="211752064"/>
      </c:barChart>
      <c:catAx>
        <c:axId val="210673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752064"/>
        <c:crosses val="autoZero"/>
        <c:auto val="1"/>
        <c:lblAlgn val="ctr"/>
        <c:lblOffset val="100"/>
        <c:noMultiLvlLbl val="0"/>
      </c:catAx>
      <c:valAx>
        <c:axId val="211752064"/>
        <c:scaling>
          <c:orientation val="minMax"/>
        </c:scaling>
        <c:delete val="1"/>
        <c:axPos val="l"/>
        <c:numFmt formatCode="#,##0_);\(#,##0\)" sourceLinked="0"/>
        <c:majorTickMark val="none"/>
        <c:minorTickMark val="none"/>
        <c:tickLblPos val="nextTo"/>
        <c:crossAx val="210673024"/>
        <c:crosses val="autoZero"/>
        <c:crossBetween val="between"/>
      </c:valAx>
      <c:spPr>
        <a:noFill/>
        <a:ln>
          <a:solidFill>
            <a:schemeClr val="bg1">
              <a:lumMod val="65000"/>
            </a:schemeClr>
          </a:solidFill>
        </a:ln>
        <a:effectLst/>
      </c:spPr>
    </c:plotArea>
    <c:legend>
      <c:legendPos val="b"/>
      <c:layout>
        <c:manualLayout>
          <c:xMode val="edge"/>
          <c:yMode val="edge"/>
          <c:x val="7.2449361288271272E-2"/>
          <c:y val="0.83891684931136201"/>
          <c:w val="0.79360353115005522"/>
          <c:h val="0.1238552010895545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1">
          <a:lumMod val="65000"/>
        </a:scheme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(Dashboard).xlsx]Age wise!PivotTable2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0"/>
              <a:t>Age Group Vs Total Price</a:t>
            </a:r>
          </a:p>
        </c:rich>
      </c:tx>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cene3d>
            <a:camera prst="orthographicFront"/>
            <a:lightRig rig="threePt" dir="t"/>
          </a:scene3d>
          <a:sp3d prstMaterial="matte">
            <a:bevelT w="63500" h="63500" prst="artDeco"/>
            <a:contourClr>
              <a:srgbClr val="000000"/>
            </a:contourClr>
          </a:sp3d>
        </c:spPr>
        <c:marker>
          <c:symbol val="none"/>
        </c:marker>
        <c:dLbl>
          <c:idx val="0"/>
          <c:layout/>
          <c:spPr>
            <a:solidFill>
              <a:srgbClr val="E8E8E8"/>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14"/>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s>
    <c:plotArea>
      <c:layout/>
      <c:pieChart>
        <c:varyColors val="1"/>
        <c:ser>
          <c:idx val="0"/>
          <c:order val="0"/>
          <c:tx>
            <c:strRef>
              <c:f>'Age wise'!$B$3</c:f>
              <c:strCache>
                <c:ptCount val="1"/>
                <c:pt idx="0">
                  <c:v>Total</c:v>
                </c:pt>
              </c:strCache>
            </c:strRef>
          </c:tx>
          <c:spPr>
            <a:scene3d>
              <a:camera prst="orthographicFront"/>
              <a:lightRig rig="threePt" dir="t"/>
            </a:scene3d>
            <a:sp3d prstMaterial="matte">
              <a:bevelT w="63500" h="63500" prst="artDeco"/>
              <a:contourClr>
                <a:srgbClr val="000000"/>
              </a:contourClr>
            </a:sp3d>
          </c:spPr>
          <c:dPt>
            <c:idx val="0"/>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xmlns:c16r2="http://schemas.microsoft.com/office/drawing/2015/06/chart">
              <c:ext xmlns:c16="http://schemas.microsoft.com/office/drawing/2014/chart" uri="{C3380CC4-5D6E-409C-BE32-E72D297353CC}">
                <c16:uniqueId val="{00000001-8A14-4939-9AF0-2DC0B25A90E5}"/>
              </c:ext>
            </c:extLst>
          </c:dPt>
          <c:dPt>
            <c:idx val="1"/>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xmlns:c16r2="http://schemas.microsoft.com/office/drawing/2015/06/chart">
              <c:ext xmlns:c16="http://schemas.microsoft.com/office/drawing/2014/chart" uri="{C3380CC4-5D6E-409C-BE32-E72D297353CC}">
                <c16:uniqueId val="{00000003-8A14-4939-9AF0-2DC0B25A90E5}"/>
              </c:ext>
            </c:extLst>
          </c:dPt>
          <c:dLbls>
            <c:spPr>
              <a:solidFill>
                <a:srgbClr val="E8E8E8"/>
              </a:soli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dLbls>
          <c:cat>
            <c:strRef>
              <c:f>'Age wise'!$A$4:$A$5</c:f>
              <c:strCache>
                <c:ptCount val="2"/>
                <c:pt idx="0">
                  <c:v>20-34</c:v>
                </c:pt>
                <c:pt idx="1">
                  <c:v>35-50</c:v>
                </c:pt>
              </c:strCache>
            </c:strRef>
          </c:cat>
          <c:val>
            <c:numRef>
              <c:f>'Age wise'!$B$4:$B$5</c:f>
              <c:numCache>
                <c:formatCode>_-[$$-409]* #,##0_ ;_-[$$-409]* \-#,##0\ ;_-[$$-409]* "-"??_ ;_-@_ </c:formatCode>
                <c:ptCount val="2"/>
                <c:pt idx="0">
                  <c:v>6422.9769999999971</c:v>
                </c:pt>
                <c:pt idx="1">
                  <c:v>4448.7080000000005</c:v>
                </c:pt>
              </c:numCache>
            </c:numRef>
          </c:val>
          <c:extLst xmlns:c16r2="http://schemas.microsoft.com/office/drawing/2015/06/chart">
            <c:ext xmlns:c16="http://schemas.microsoft.com/office/drawing/2014/chart" uri="{C3380CC4-5D6E-409C-BE32-E72D297353CC}">
              <c16:uniqueId val="{00000004-8A14-4939-9AF0-2DC0B25A90E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1">
          <a:lumMod val="65000"/>
        </a:scheme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(Dashboard).xlsx]Total price!PivotTable1</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Price</a:t>
            </a:r>
          </a:p>
        </c:rich>
      </c:tx>
      <c:layout>
        <c:manualLayout>
          <c:xMode val="edge"/>
          <c:yMode val="edge"/>
          <c:x val="0.37754555198285106"/>
          <c:y val="3.6496350364963501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s>
    <c:plotArea>
      <c:layout>
        <c:manualLayout>
          <c:layoutTarget val="inner"/>
          <c:xMode val="edge"/>
          <c:yMode val="edge"/>
          <c:x val="8.4557153360524773E-2"/>
          <c:y val="0.16551155115511554"/>
          <c:w val="0.84502031142820766"/>
          <c:h val="0.31216314544840312"/>
        </c:manualLayout>
      </c:layout>
      <c:lineChart>
        <c:grouping val="standard"/>
        <c:varyColors val="0"/>
        <c:ser>
          <c:idx val="0"/>
          <c:order val="0"/>
          <c:tx>
            <c:strRef>
              <c:f>'Total price'!$B$3</c:f>
              <c:strCache>
                <c:ptCount val="1"/>
                <c:pt idx="0">
                  <c:v>Total</c:v>
                </c:pt>
              </c:strCache>
            </c:strRef>
          </c:tx>
          <c:spPr>
            <a:ln w="28575" cap="rnd">
              <a:solidFill>
                <a:schemeClr val="accent1"/>
              </a:solidFill>
              <a:round/>
            </a:ln>
            <a:effectLst/>
          </c:spPr>
          <c:marker>
            <c:symbol val="none"/>
          </c:marker>
          <c:cat>
            <c:strRef>
              <c:f>'Total price'!$A$4:$A$54</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'Total price'!$B$4:$B$54</c:f>
              <c:numCache>
                <c:formatCode>_-[$$-409]* #,##0_ ;_-[$$-409]* \-#,##0\ ;_-[$$-409]* "-"??_ ;_-@_ </c:formatCode>
                <c:ptCount val="51"/>
                <c:pt idx="0">
                  <c:v>164.989</c:v>
                </c:pt>
                <c:pt idx="1">
                  <c:v>164.96699999999998</c:v>
                </c:pt>
                <c:pt idx="2">
                  <c:v>142.989</c:v>
                </c:pt>
                <c:pt idx="3">
                  <c:v>98.98899999999999</c:v>
                </c:pt>
                <c:pt idx="4">
                  <c:v>153.97799999999998</c:v>
                </c:pt>
                <c:pt idx="5">
                  <c:v>219.989</c:v>
                </c:pt>
                <c:pt idx="6">
                  <c:v>131.96699999999998</c:v>
                </c:pt>
                <c:pt idx="7">
                  <c:v>148.5</c:v>
                </c:pt>
                <c:pt idx="8">
                  <c:v>219.989</c:v>
                </c:pt>
                <c:pt idx="9">
                  <c:v>164.94499999999999</c:v>
                </c:pt>
                <c:pt idx="10">
                  <c:v>87.955999999999989</c:v>
                </c:pt>
                <c:pt idx="11">
                  <c:v>175.97799999999998</c:v>
                </c:pt>
                <c:pt idx="12">
                  <c:v>164.96699999999998</c:v>
                </c:pt>
                <c:pt idx="13">
                  <c:v>164.989</c:v>
                </c:pt>
                <c:pt idx="14">
                  <c:v>87.955999999999989</c:v>
                </c:pt>
                <c:pt idx="15">
                  <c:v>219.989</c:v>
                </c:pt>
                <c:pt idx="16">
                  <c:v>164.989</c:v>
                </c:pt>
                <c:pt idx="17">
                  <c:v>131.96699999999998</c:v>
                </c:pt>
                <c:pt idx="18">
                  <c:v>153.97799999999998</c:v>
                </c:pt>
                <c:pt idx="19">
                  <c:v>32.988999999999997</c:v>
                </c:pt>
                <c:pt idx="20">
                  <c:v>164.94499999999999</c:v>
                </c:pt>
                <c:pt idx="21">
                  <c:v>131.96699999999998</c:v>
                </c:pt>
                <c:pt idx="22">
                  <c:v>175.97799999999998</c:v>
                </c:pt>
                <c:pt idx="23">
                  <c:v>164.94499999999999</c:v>
                </c:pt>
                <c:pt idx="24">
                  <c:v>142.989</c:v>
                </c:pt>
                <c:pt idx="25">
                  <c:v>142.989</c:v>
                </c:pt>
                <c:pt idx="26">
                  <c:v>87.955999999999989</c:v>
                </c:pt>
                <c:pt idx="27">
                  <c:v>164.94499999999999</c:v>
                </c:pt>
                <c:pt idx="28">
                  <c:v>175.97799999999998</c:v>
                </c:pt>
                <c:pt idx="29">
                  <c:v>109.97800000000001</c:v>
                </c:pt>
                <c:pt idx="30">
                  <c:v>219.989</c:v>
                </c:pt>
                <c:pt idx="31">
                  <c:v>131.96699999999998</c:v>
                </c:pt>
                <c:pt idx="32">
                  <c:v>175.97799999999998</c:v>
                </c:pt>
                <c:pt idx="33">
                  <c:v>164.989</c:v>
                </c:pt>
                <c:pt idx="34">
                  <c:v>153.97799999999998</c:v>
                </c:pt>
                <c:pt idx="35">
                  <c:v>131.96699999999998</c:v>
                </c:pt>
                <c:pt idx="36">
                  <c:v>87.955999999999989</c:v>
                </c:pt>
                <c:pt idx="37">
                  <c:v>87.955999999999989</c:v>
                </c:pt>
                <c:pt idx="38">
                  <c:v>175.97799999999998</c:v>
                </c:pt>
                <c:pt idx="39">
                  <c:v>219.989</c:v>
                </c:pt>
                <c:pt idx="40">
                  <c:v>175.97799999999998</c:v>
                </c:pt>
                <c:pt idx="41">
                  <c:v>329.96699999999998</c:v>
                </c:pt>
                <c:pt idx="42">
                  <c:v>164.94499999999999</c:v>
                </c:pt>
                <c:pt idx="43">
                  <c:v>164.96699999999998</c:v>
                </c:pt>
                <c:pt idx="44">
                  <c:v>164.96699999999998</c:v>
                </c:pt>
                <c:pt idx="45">
                  <c:v>153.97799999999998</c:v>
                </c:pt>
                <c:pt idx="46">
                  <c:v>164.989</c:v>
                </c:pt>
                <c:pt idx="47">
                  <c:v>142.989</c:v>
                </c:pt>
                <c:pt idx="48">
                  <c:v>87.955999999999989</c:v>
                </c:pt>
                <c:pt idx="49">
                  <c:v>153.97799999999998</c:v>
                </c:pt>
                <c:pt idx="50">
                  <c:v>164.94499999999999</c:v>
                </c:pt>
              </c:numCache>
            </c:numRef>
          </c:val>
          <c:smooth val="0"/>
          <c:extLst xmlns:c16r2="http://schemas.microsoft.com/office/drawing/2015/06/chart">
            <c:ext xmlns:c16="http://schemas.microsoft.com/office/drawing/2014/chart" uri="{C3380CC4-5D6E-409C-BE32-E72D297353CC}">
              <c16:uniqueId val="{00000000-0AC6-43BE-B8A5-90A85CB0D623}"/>
            </c:ext>
          </c:extLst>
        </c:ser>
        <c:dLbls>
          <c:showLegendKey val="0"/>
          <c:showVal val="0"/>
          <c:showCatName val="0"/>
          <c:showSerName val="0"/>
          <c:showPercent val="0"/>
          <c:showBubbleSize val="0"/>
        </c:dLbls>
        <c:marker val="1"/>
        <c:smooth val="0"/>
        <c:axId val="212126720"/>
        <c:axId val="212144896"/>
      </c:lineChart>
      <c:catAx>
        <c:axId val="21212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2144896"/>
        <c:crosses val="autoZero"/>
        <c:auto val="1"/>
        <c:lblAlgn val="ctr"/>
        <c:lblOffset val="100"/>
        <c:noMultiLvlLbl val="0"/>
      </c:catAx>
      <c:valAx>
        <c:axId val="212144896"/>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212672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2"/>
    </a:solidFill>
    <a:ln w="12700" cap="flat" cmpd="sng" algn="ctr">
      <a:solidFill>
        <a:schemeClr val="bg1">
          <a:lumMod val="65000"/>
        </a:schemeClr>
      </a:solidFill>
      <a:prstDash val="solid"/>
      <a:miter lim="800000"/>
    </a:ln>
    <a:effectLst/>
    <a:scene3d>
      <a:camera prst="orthographicFront"/>
      <a:lightRig rig="threePt" dir="t"/>
    </a:scene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(Dashboard).xlsx]Top 10!PivotTable1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0"/>
              <a:t>Top</a:t>
            </a:r>
            <a:r>
              <a:rPr lang="en-US" b="0" baseline="0"/>
              <a:t> 10</a:t>
            </a:r>
            <a:endParaRPr lang="en-US" b="0"/>
          </a:p>
        </c:rich>
      </c:tx>
      <c:layout>
        <c:manualLayout>
          <c:xMode val="edge"/>
          <c:yMode val="edge"/>
          <c:x val="0.29933031207637506"/>
          <c:y val="2.7056277056277056E-2"/>
        </c:manualLayout>
      </c:layout>
      <c:overlay val="0"/>
      <c:spPr>
        <a:noFill/>
        <a:ln>
          <a:noFill/>
        </a:ln>
        <a:effectLst/>
      </c:spPr>
    </c:title>
    <c:autoTitleDeleted val="0"/>
    <c:pivotFmts>
      <c:pivotFmt>
        <c:idx val="0"/>
        <c:spPr>
          <a:solidFill>
            <a:schemeClr val="accent1">
              <a:alpha val="85000"/>
            </a:schemeClr>
          </a:solidFill>
          <a:ln w="9525" cap="flat" cmpd="sng" algn="ctr">
            <a:solidFill>
              <a:schemeClr val="lt1">
                <a:alpha val="50000"/>
              </a:schemeClr>
            </a:solidFill>
            <a:round/>
          </a:ln>
          <a:effectLst>
            <a:innerShdw blurRad="114300">
              <a:prstClr val="black"/>
            </a:innerShdw>
          </a:effectLst>
          <a:scene3d>
            <a:camera prst="orthographicFront"/>
            <a:lightRig rig="threePt" dir="t"/>
          </a:scene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a:innerShdw blurRad="114300">
              <a:prstClr val="black"/>
            </a:innerShdw>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a:innerShdw blurRad="114300">
              <a:prstClr val="black"/>
            </a:innerShdw>
          </a:effectLst>
          <a:scene3d>
            <a:camera prst="orthographicFront"/>
            <a:lightRig rig="threePt" dir="t"/>
          </a:scene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'Top 10'!$B$3</c:f>
              <c:strCache>
                <c:ptCount val="1"/>
                <c:pt idx="0">
                  <c:v>Total</c:v>
                </c:pt>
              </c:strCache>
            </c:strRef>
          </c:tx>
          <c:spPr>
            <a:solidFill>
              <a:schemeClr val="accent1">
                <a:alpha val="85000"/>
              </a:schemeClr>
            </a:solidFill>
            <a:ln w="9525" cap="flat" cmpd="sng" algn="ctr">
              <a:solidFill>
                <a:schemeClr val="lt1">
                  <a:alpha val="50000"/>
                </a:schemeClr>
              </a:solidFill>
              <a:round/>
            </a:ln>
            <a:effectLst>
              <a:innerShdw blurRad="114300">
                <a:prstClr val="black"/>
              </a:innerShdw>
            </a:effectLst>
            <a:scene3d>
              <a:camera prst="orthographicFront"/>
              <a:lightRig rig="threePt" dir="t"/>
            </a:scene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'Top 10'!$A$4:$A$14</c:f>
              <c:strCache>
                <c:ptCount val="11"/>
                <c:pt idx="0">
                  <c:v>Jennifer Davis</c:v>
                </c:pt>
                <c:pt idx="1">
                  <c:v>Michael Johnson</c:v>
                </c:pt>
                <c:pt idx="2">
                  <c:v>David Wilson</c:v>
                </c:pt>
                <c:pt idx="3">
                  <c:v>Jessica Wilson</c:v>
                </c:pt>
                <c:pt idx="4">
                  <c:v>David Rodriguez</c:v>
                </c:pt>
                <c:pt idx="5">
                  <c:v>Emily Brown</c:v>
                </c:pt>
                <c:pt idx="6">
                  <c:v>Sarah Gonzalez</c:v>
                </c:pt>
                <c:pt idx="7">
                  <c:v>Emily Johnson</c:v>
                </c:pt>
                <c:pt idx="8">
                  <c:v>Matthew Garcia</c:v>
                </c:pt>
                <c:pt idx="9">
                  <c:v>Jennifer Hernandez</c:v>
                </c:pt>
                <c:pt idx="10">
                  <c:v>Daniel Hernandez</c:v>
                </c:pt>
              </c:strCache>
            </c:strRef>
          </c:cat>
          <c:val>
            <c:numRef>
              <c:f>'Top 10'!$B$4:$B$14</c:f>
              <c:numCache>
                <c:formatCode>_-[$$-409]* #,##0_ ;_-[$$-409]* \-#,##0\ ;_-[$$-409]* "-"??_ ;_-@_ </c:formatCode>
                <c:ptCount val="11"/>
                <c:pt idx="0">
                  <c:v>538.91199999999992</c:v>
                </c:pt>
                <c:pt idx="1">
                  <c:v>505.94499999999994</c:v>
                </c:pt>
                <c:pt idx="2">
                  <c:v>472.96699999999998</c:v>
                </c:pt>
                <c:pt idx="3">
                  <c:v>395.96699999999998</c:v>
                </c:pt>
                <c:pt idx="4">
                  <c:v>329.91199999999998</c:v>
                </c:pt>
                <c:pt idx="5">
                  <c:v>329.89</c:v>
                </c:pt>
                <c:pt idx="6">
                  <c:v>318.96699999999998</c:v>
                </c:pt>
                <c:pt idx="7">
                  <c:v>307.97800000000001</c:v>
                </c:pt>
                <c:pt idx="8">
                  <c:v>307.97800000000001</c:v>
                </c:pt>
                <c:pt idx="9">
                  <c:v>296.95600000000002</c:v>
                </c:pt>
                <c:pt idx="10">
                  <c:v>296.95600000000002</c:v>
                </c:pt>
              </c:numCache>
            </c:numRef>
          </c:val>
          <c:extLst xmlns:c16r2="http://schemas.microsoft.com/office/drawing/2015/06/chart">
            <c:ext xmlns:c16="http://schemas.microsoft.com/office/drawing/2014/chart" uri="{C3380CC4-5D6E-409C-BE32-E72D297353CC}">
              <c16:uniqueId val="{00000000-180A-4334-93A1-6AF22CFF4983}"/>
            </c:ext>
          </c:extLst>
        </c:ser>
        <c:dLbls>
          <c:dLblPos val="inEnd"/>
          <c:showLegendKey val="0"/>
          <c:showVal val="1"/>
          <c:showCatName val="0"/>
          <c:showSerName val="0"/>
          <c:showPercent val="0"/>
          <c:showBubbleSize val="0"/>
        </c:dLbls>
        <c:gapWidth val="65"/>
        <c:axId val="212196736"/>
        <c:axId val="212199680"/>
      </c:barChart>
      <c:catAx>
        <c:axId val="2121967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199680"/>
        <c:crosses val="autoZero"/>
        <c:auto val="1"/>
        <c:lblAlgn val="ctr"/>
        <c:lblOffset val="100"/>
        <c:noMultiLvlLbl val="0"/>
      </c:catAx>
      <c:valAx>
        <c:axId val="212199680"/>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219673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1">
          <a:lumMod val="65000"/>
        </a:scheme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(Dashboard).xlsx]Quantity!PivotTable1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0"/>
              <a:t>Month wise Order Quantity</a:t>
            </a:r>
          </a:p>
        </c:rich>
      </c:tx>
      <c:layout/>
      <c:overlay val="0"/>
      <c:spPr>
        <a:noFill/>
        <a:ln>
          <a:noFill/>
        </a:ln>
        <a:effectLst/>
      </c:spPr>
    </c:title>
    <c:autoTitleDeleted val="0"/>
    <c:pivotFmts>
      <c:pivotFmt>
        <c:idx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marker>
          <c:symbol val="circle"/>
          <c:size val="6"/>
        </c:marker>
      </c:pivotFmt>
      <c:pivotFmt>
        <c:idx val="1"/>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2"/>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4"/>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5"/>
        <c:spPr>
          <a:scene3d>
            <a:camera prst="orthographicFront"/>
            <a:lightRig rig="threePt" dir="t"/>
          </a:scene3d>
          <a:sp3d prstMaterial="matte">
            <a:bevelT w="63500" h="63500" prst="artDeco"/>
            <a:contourClr>
              <a:srgbClr val="000000"/>
            </a:contourClr>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dLbl>
          <c:idx val="0"/>
          <c:layout>
            <c:manualLayout>
              <c:x val="0.13978494623655913"/>
              <c:y val="-5.9417706476530005E-3"/>
            </c:manualLayout>
          </c:layout>
          <c:spPr>
            <a:solidFill>
              <a:sysClr val="window" lastClr="FFFFFF"/>
            </a:solidFill>
            <a:ln w="19050" cap="flat" cmpd="sng" algn="ctr">
              <a:solidFill>
                <a:srgbClr val="156082"/>
              </a:solidFill>
              <a:prstDash val="solid"/>
              <a:miter lim="800000"/>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dLbl>
          <c:idx val="0"/>
          <c:layout>
            <c:manualLayout>
              <c:x val="-0.10752688172043014"/>
              <c:y val="-8.9126559714795037E-2"/>
            </c:manualLayout>
          </c:layout>
          <c:spPr>
            <a:solidFill>
              <a:sysClr val="window" lastClr="FFFFFF"/>
            </a:solidFill>
            <a:ln w="19050" cap="flat" cmpd="sng" algn="ctr">
              <a:solidFill>
                <a:srgbClr val="156082"/>
              </a:solidFill>
              <a:prstDash val="solid"/>
              <a:miter lim="800000"/>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doughnutChart>
        <c:varyColors val="1"/>
        <c:ser>
          <c:idx val="0"/>
          <c:order val="0"/>
          <c:tx>
            <c:strRef>
              <c:f>Quantity!$B$3</c:f>
              <c:strCache>
                <c:ptCount val="1"/>
                <c:pt idx="0">
                  <c:v>Total</c:v>
                </c:pt>
              </c:strCache>
            </c:strRef>
          </c:tx>
          <c:spPr>
            <a:scene3d>
              <a:camera prst="orthographicFront"/>
              <a:lightRig rig="threePt" dir="t"/>
            </a:scene3d>
            <a:sp3d prstMaterial="matte">
              <a:bevelT w="63500" h="63500" prst="artDeco"/>
              <a:contourClr>
                <a:srgbClr val="000000"/>
              </a:contourClr>
            </a:sp3d>
          </c:spPr>
          <c:dPt>
            <c:idx val="0"/>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xmlns:c16r2="http://schemas.microsoft.com/office/drawing/2015/06/chart">
              <c:ext xmlns:c16="http://schemas.microsoft.com/office/drawing/2014/chart" uri="{C3380CC4-5D6E-409C-BE32-E72D297353CC}">
                <c16:uniqueId val="{00000001-A120-411D-8026-08FE75084729}"/>
              </c:ext>
            </c:extLst>
          </c:dPt>
          <c:dPt>
            <c:idx val="1"/>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xmlns:c16r2="http://schemas.microsoft.com/office/drawing/2015/06/chart">
              <c:ext xmlns:c16="http://schemas.microsoft.com/office/drawing/2014/chart" uri="{C3380CC4-5D6E-409C-BE32-E72D297353CC}">
                <c16:uniqueId val="{00000003-A120-411D-8026-08FE75084729}"/>
              </c:ext>
            </c:extLst>
          </c:dPt>
          <c:dLbls>
            <c:dLbl>
              <c:idx val="0"/>
              <c:layout>
                <c:manualLayout>
                  <c:x val="0.13978494623655913"/>
                  <c:y val="-5.9417706476530005E-3"/>
                </c:manualLayout>
              </c:layout>
              <c:spPr>
                <a:solidFill>
                  <a:sysClr val="window" lastClr="FFFFFF"/>
                </a:solidFill>
                <a:ln w="19050" cap="flat" cmpd="sng" algn="ctr">
                  <a:solidFill>
                    <a:srgbClr val="156082"/>
                  </a:solidFill>
                  <a:prstDash val="solid"/>
                  <a:miter lim="800000"/>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dLbl>
              <c:idx val="1"/>
              <c:layout>
                <c:manualLayout>
                  <c:x val="-0.10752688172043014"/>
                  <c:y val="-8.9126559714795037E-2"/>
                </c:manualLayout>
              </c:layout>
              <c:spPr>
                <a:solidFill>
                  <a:sysClr val="window" lastClr="FFFFFF"/>
                </a:solidFill>
                <a:ln w="19050" cap="flat" cmpd="sng" algn="ctr">
                  <a:solidFill>
                    <a:srgbClr val="156082"/>
                  </a:solidFill>
                  <a:prstDash val="solid"/>
                  <a:miter lim="800000"/>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dLbls>
          <c:cat>
            <c:strRef>
              <c:f>Quantity!$A$4:$A$5</c:f>
              <c:strCache>
                <c:ptCount val="2"/>
                <c:pt idx="0">
                  <c:v>Jan</c:v>
                </c:pt>
                <c:pt idx="1">
                  <c:v>Feb</c:v>
                </c:pt>
              </c:strCache>
            </c:strRef>
          </c:cat>
          <c:val>
            <c:numRef>
              <c:f>Quantity!$B$4:$B$5</c:f>
              <c:numCache>
                <c:formatCode>General</c:formatCode>
                <c:ptCount val="2"/>
                <c:pt idx="0">
                  <c:v>141</c:v>
                </c:pt>
                <c:pt idx="1">
                  <c:v>27</c:v>
                </c:pt>
              </c:numCache>
            </c:numRef>
          </c:val>
          <c:extLst xmlns:c16r2="http://schemas.microsoft.com/office/drawing/2015/06/chart">
            <c:ext xmlns:c16="http://schemas.microsoft.com/office/drawing/2014/chart" uri="{C3380CC4-5D6E-409C-BE32-E72D297353CC}">
              <c16:uniqueId val="{00000004-A120-411D-8026-08FE75084729}"/>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80177955767001385"/>
          <c:y val="0.42043875531601327"/>
          <c:w val="0.11217837732042575"/>
          <c:h val="0.3669057410604423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1">
          <a:lumMod val="65000"/>
        </a:scheme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(Dashboard).xlsx]Age wise!PivotTable2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Price</a:t>
            </a:r>
          </a:p>
        </c:rich>
      </c:tx>
      <c:layout/>
      <c:overlay val="0"/>
      <c:spPr>
        <a:noFill/>
        <a:ln>
          <a:noFill/>
        </a:ln>
        <a:effectLst/>
      </c:spPr>
    </c:title>
    <c:autoTitleDeleted val="0"/>
    <c:pivotFmts>
      <c:pivotFmt>
        <c:idx val="0"/>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77777777777788"/>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25"/>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277777777777788"/>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'Age wise'!$B$3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5B66-444E-96F0-128DC1B0AD66}"/>
              </c:ext>
            </c:extLst>
          </c:dPt>
          <c:dPt>
            <c:idx val="1"/>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3-5B66-444E-96F0-128DC1B0AD66}"/>
              </c:ext>
            </c:extLst>
          </c:dPt>
          <c:dLbls>
            <c:dLbl>
              <c:idx val="0"/>
              <c:layout>
                <c:manualLayout>
                  <c:x val="-0.10277777777777788"/>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dLbl>
              <c:idx val="1"/>
              <c:layout>
                <c:manualLayout>
                  <c:x val="-0.10277777777777788"/>
                  <c:y val="-4.629629629629629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dLbls>
          <c:cat>
            <c:strRef>
              <c:f>'Age wise'!$A$4:$A$5</c:f>
              <c:strCache>
                <c:ptCount val="2"/>
                <c:pt idx="0">
                  <c:v>20-34</c:v>
                </c:pt>
                <c:pt idx="1">
                  <c:v>35-50</c:v>
                </c:pt>
              </c:strCache>
            </c:strRef>
          </c:cat>
          <c:val>
            <c:numRef>
              <c:f>'Age wise'!$B$4:$B$5</c:f>
              <c:numCache>
                <c:formatCode>_-[$$-409]* #,##0_ ;_-[$$-409]* \-#,##0\ ;_-[$$-409]* "-"??_ ;_-@_ </c:formatCode>
                <c:ptCount val="2"/>
                <c:pt idx="0">
                  <c:v>6422.9769999999971</c:v>
                </c:pt>
                <c:pt idx="1">
                  <c:v>4448.7080000000005</c:v>
                </c:pt>
              </c:numCache>
            </c:numRef>
          </c:val>
          <c:extLst xmlns:c16r2="http://schemas.microsoft.com/office/drawing/2015/06/chart">
            <c:ext xmlns:c16="http://schemas.microsoft.com/office/drawing/2014/chart" uri="{C3380CC4-5D6E-409C-BE32-E72D297353CC}">
              <c16:uniqueId val="{00000007-5E0E-404C-B809-5FEF5D79FF8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(Dashboard).xlsx]Top 10!PivotTable1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10</a:t>
            </a:r>
            <a:endParaRPr lang="en-US"/>
          </a:p>
        </c:rich>
      </c:tx>
      <c:layout/>
      <c:overlay val="0"/>
      <c:spPr>
        <a:noFill/>
        <a:ln>
          <a:noFill/>
        </a:ln>
        <a:effectLst/>
      </c:spPr>
    </c:title>
    <c:autoTitleDeleted val="0"/>
    <c:pivotFmts>
      <c:pivotFmt>
        <c:idx val="0"/>
        <c:spPr>
          <a:solidFill>
            <a:schemeClr val="accent1">
              <a:alpha val="85000"/>
            </a:schemeClr>
          </a:solidFill>
          <a:ln w="9525" cap="flat" cmpd="sng" algn="ctr">
            <a:solidFill>
              <a:schemeClr val="lt1">
                <a:alpha val="50000"/>
              </a:schemeClr>
            </a:solidFill>
            <a:round/>
          </a:ln>
          <a:effectLst>
            <a:innerShdw blurRad="114300">
              <a:prstClr val="black"/>
            </a:innerShdw>
          </a:effectLst>
          <a:scene3d>
            <a:camera prst="orthographicFront"/>
            <a:lightRig rig="threePt" dir="t"/>
          </a:scene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'Top 10'!$B$3</c:f>
              <c:strCache>
                <c:ptCount val="1"/>
                <c:pt idx="0">
                  <c:v>Total</c:v>
                </c:pt>
              </c:strCache>
            </c:strRef>
          </c:tx>
          <c:spPr>
            <a:solidFill>
              <a:schemeClr val="accent1">
                <a:alpha val="85000"/>
              </a:schemeClr>
            </a:solidFill>
            <a:ln w="9525" cap="flat" cmpd="sng" algn="ctr">
              <a:solidFill>
                <a:schemeClr val="lt1">
                  <a:alpha val="50000"/>
                </a:schemeClr>
              </a:solidFill>
              <a:round/>
            </a:ln>
            <a:effectLst>
              <a:innerShdw blurRad="114300">
                <a:prstClr val="black"/>
              </a:innerShdw>
            </a:effectLst>
            <a:scene3d>
              <a:camera prst="orthographicFront"/>
              <a:lightRig rig="threePt" dir="t"/>
            </a:scene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dLbls>
          <c:cat>
            <c:strRef>
              <c:f>'Top 10'!$A$4:$A$14</c:f>
              <c:strCache>
                <c:ptCount val="11"/>
                <c:pt idx="0">
                  <c:v>Jennifer Davis</c:v>
                </c:pt>
                <c:pt idx="1">
                  <c:v>Michael Johnson</c:v>
                </c:pt>
                <c:pt idx="2">
                  <c:v>David Wilson</c:v>
                </c:pt>
                <c:pt idx="3">
                  <c:v>Jessica Wilson</c:v>
                </c:pt>
                <c:pt idx="4">
                  <c:v>David Rodriguez</c:v>
                </c:pt>
                <c:pt idx="5">
                  <c:v>Emily Brown</c:v>
                </c:pt>
                <c:pt idx="6">
                  <c:v>Sarah Gonzalez</c:v>
                </c:pt>
                <c:pt idx="7">
                  <c:v>Emily Johnson</c:v>
                </c:pt>
                <c:pt idx="8">
                  <c:v>Matthew Garcia</c:v>
                </c:pt>
                <c:pt idx="9">
                  <c:v>Jennifer Hernandez</c:v>
                </c:pt>
                <c:pt idx="10">
                  <c:v>Daniel Hernandez</c:v>
                </c:pt>
              </c:strCache>
            </c:strRef>
          </c:cat>
          <c:val>
            <c:numRef>
              <c:f>'Top 10'!$B$4:$B$14</c:f>
              <c:numCache>
                <c:formatCode>_-[$$-409]* #,##0_ ;_-[$$-409]* \-#,##0\ ;_-[$$-409]* "-"??_ ;_-@_ </c:formatCode>
                <c:ptCount val="11"/>
                <c:pt idx="0">
                  <c:v>538.91199999999992</c:v>
                </c:pt>
                <c:pt idx="1">
                  <c:v>505.94499999999994</c:v>
                </c:pt>
                <c:pt idx="2">
                  <c:v>472.96699999999998</c:v>
                </c:pt>
                <c:pt idx="3">
                  <c:v>395.96699999999998</c:v>
                </c:pt>
                <c:pt idx="4">
                  <c:v>329.91199999999998</c:v>
                </c:pt>
                <c:pt idx="5">
                  <c:v>329.89</c:v>
                </c:pt>
                <c:pt idx="6">
                  <c:v>318.96699999999998</c:v>
                </c:pt>
                <c:pt idx="7">
                  <c:v>307.97800000000001</c:v>
                </c:pt>
                <c:pt idx="8">
                  <c:v>307.97800000000001</c:v>
                </c:pt>
                <c:pt idx="9">
                  <c:v>296.95600000000002</c:v>
                </c:pt>
                <c:pt idx="10">
                  <c:v>296.95600000000002</c:v>
                </c:pt>
              </c:numCache>
            </c:numRef>
          </c:val>
          <c:extLst xmlns:c16r2="http://schemas.microsoft.com/office/drawing/2015/06/chart">
            <c:ext xmlns:c16="http://schemas.microsoft.com/office/drawing/2014/chart" uri="{C3380CC4-5D6E-409C-BE32-E72D297353CC}">
              <c16:uniqueId val="{00000000-E1A6-4C79-B328-E18D443592E1}"/>
            </c:ext>
          </c:extLst>
        </c:ser>
        <c:dLbls>
          <c:dLblPos val="inEnd"/>
          <c:showLegendKey val="0"/>
          <c:showVal val="1"/>
          <c:showCatName val="0"/>
          <c:showSerName val="0"/>
          <c:showPercent val="0"/>
          <c:showBubbleSize val="0"/>
        </c:dLbls>
        <c:gapWidth val="65"/>
        <c:axId val="211662336"/>
        <c:axId val="211677568"/>
      </c:barChart>
      <c:catAx>
        <c:axId val="2116623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677568"/>
        <c:crosses val="autoZero"/>
        <c:auto val="1"/>
        <c:lblAlgn val="ctr"/>
        <c:lblOffset val="100"/>
        <c:noMultiLvlLbl val="0"/>
      </c:catAx>
      <c:valAx>
        <c:axId val="2116775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166233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[Supermarket-Sales (Dashboard).xlsx]Quantity!PivotTable1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0"/>
              <a:t>Month wise Order Quantity</a:t>
            </a:r>
          </a:p>
        </c:rich>
      </c:tx>
      <c:layout/>
      <c:overlay val="0"/>
      <c:spPr>
        <a:noFill/>
        <a:ln>
          <a:noFill/>
        </a:ln>
        <a:effectLst/>
      </c:spPr>
    </c:title>
    <c:autoTitleDeleted val="0"/>
    <c:pivotFmts>
      <c:pivotFmt>
        <c:idx val="0"/>
        <c:spPr>
          <a:scene3d>
            <a:camera prst="orthographicFront"/>
            <a:lightRig rig="threePt" dir="t"/>
          </a:scene3d>
          <a:sp3d prstMaterial="matte">
            <a:bevelT w="63500" h="63500" prst="artDeco"/>
            <a:contourClr>
              <a:srgbClr val="000000"/>
            </a:contourClr>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2"/>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
        <c:idx val="3"/>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pivotFmt>
    </c:pivotFmts>
    <c:plotArea>
      <c:layout/>
      <c:doughnutChart>
        <c:varyColors val="1"/>
        <c:ser>
          <c:idx val="0"/>
          <c:order val="0"/>
          <c:tx>
            <c:strRef>
              <c:f>Quantity!$B$3</c:f>
              <c:strCache>
                <c:ptCount val="1"/>
                <c:pt idx="0">
                  <c:v>Total</c:v>
                </c:pt>
              </c:strCache>
            </c:strRef>
          </c:tx>
          <c:spPr>
            <a:scene3d>
              <a:camera prst="orthographicFront"/>
              <a:lightRig rig="threePt" dir="t"/>
            </a:scene3d>
            <a:sp3d prstMaterial="matte">
              <a:bevelT w="63500" h="63500" prst="artDeco"/>
              <a:contourClr>
                <a:srgbClr val="000000"/>
              </a:contourClr>
            </a:sp3d>
          </c:spPr>
          <c:dPt>
            <c:idx val="0"/>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xmlns:c16r2="http://schemas.microsoft.com/office/drawing/2015/06/chart">
              <c:ext xmlns:c16="http://schemas.microsoft.com/office/drawing/2014/chart" uri="{C3380CC4-5D6E-409C-BE32-E72D297353CC}">
                <c16:uniqueId val="{00000002-ACA3-44BD-8215-3D4B3B2350D3}"/>
              </c:ext>
            </c:extLst>
          </c:dPt>
          <c:dPt>
            <c:idx val="1"/>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matte">
                <a:bevelT w="63500" h="63500" prst="artDeco"/>
                <a:contourClr>
                  <a:srgbClr val="000000"/>
                </a:contourClr>
              </a:sp3d>
            </c:spPr>
            <c:extLst xmlns:c16r2="http://schemas.microsoft.com/office/drawing/2015/06/chart">
              <c:ext xmlns:c16="http://schemas.microsoft.com/office/drawing/2014/chart" uri="{C3380CC4-5D6E-409C-BE32-E72D297353CC}">
                <c16:uniqueId val="{00000003-ACA3-44BD-8215-3D4B3B2350D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dLbls>
          <c:cat>
            <c:strRef>
              <c:f>Quantity!$A$4:$A$5</c:f>
              <c:strCache>
                <c:ptCount val="2"/>
                <c:pt idx="0">
                  <c:v>Jan</c:v>
                </c:pt>
                <c:pt idx="1">
                  <c:v>Feb</c:v>
                </c:pt>
              </c:strCache>
            </c:strRef>
          </c:cat>
          <c:val>
            <c:numRef>
              <c:f>Quantity!$B$4:$B$5</c:f>
              <c:numCache>
                <c:formatCode>General</c:formatCode>
                <c:ptCount val="2"/>
                <c:pt idx="0">
                  <c:v>141</c:v>
                </c:pt>
                <c:pt idx="1">
                  <c:v>27</c:v>
                </c:pt>
              </c:numCache>
            </c:numRef>
          </c:val>
          <c:extLst xmlns:c16r2="http://schemas.microsoft.com/office/drawing/2015/06/chart">
            <c:ext xmlns:c16="http://schemas.microsoft.com/office/drawing/2014/chart" uri="{C3380CC4-5D6E-409C-BE32-E72D297353CC}">
              <c16:uniqueId val="{00000000-ACA3-44BD-8215-3D4B3B2350D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80177955767001385"/>
          <c:y val="0.42043875531601327"/>
          <c:w val="0.11217837732042575"/>
          <c:h val="0.3669057410604423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331470</xdr:colOff>
      <xdr:row>7</xdr:row>
      <xdr:rowOff>72390</xdr:rowOff>
    </xdr:from>
    <xdr:to>
      <xdr:col>11</xdr:col>
      <xdr:colOff>171450</xdr:colOff>
      <xdr:row>23</xdr:row>
      <xdr:rowOff>11430</xdr:rowOff>
    </xdr:to>
    <xdr:graphicFrame macro="">
      <xdr:nvGraphicFramePr>
        <xdr:cNvPr id="4" name="Chart 3">
          <a:extLst>
            <a:ext uri="{FF2B5EF4-FFF2-40B4-BE49-F238E27FC236}">
              <a16:creationId xmlns:a16="http://schemas.microsoft.com/office/drawing/2014/main" xmlns="" id="{ECFB251C-59EA-4546-A81B-5BB7B4189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403860</xdr:colOff>
      <xdr:row>6</xdr:row>
      <xdr:rowOff>160020</xdr:rowOff>
    </xdr:from>
    <xdr:to>
      <xdr:col>16</xdr:col>
      <xdr:colOff>434340</xdr:colOff>
      <xdr:row>20</xdr:row>
      <xdr:rowOff>180975</xdr:rowOff>
    </xdr:to>
    <mc:AlternateContent xmlns:mc="http://schemas.openxmlformats.org/markup-compatibility/2006" xmlns:a14="http://schemas.microsoft.com/office/drawing/2010/main">
      <mc:Choice Requires="a14">
        <xdr:graphicFrame macro="">
          <xdr:nvGraphicFramePr>
            <xdr:cNvPr id="5" name="Customer Name 2">
              <a:extLst>
                <a:ext uri="{FF2B5EF4-FFF2-40B4-BE49-F238E27FC236}">
                  <a16:creationId xmlns:a16="http://schemas.microsoft.com/office/drawing/2014/main" xmlns="" id="{CC9DA06D-3EBF-5705-4577-8EA25346545A}"/>
                </a:ext>
              </a:extLst>
            </xdr:cNvPr>
            <xdr:cNvGraphicFramePr/>
          </xdr:nvGraphicFramePr>
          <xdr:xfrm>
            <a:off x="0" y="0"/>
            <a:ext cx="0" cy="0"/>
          </xdr:xfrm>
          <a:graphic>
            <a:graphicData uri="http://schemas.microsoft.com/office/drawing/2010/slicer">
              <sle:slicer xmlns:sle="http://schemas.microsoft.com/office/drawing/2010/slicer" name="Customer Name 2"/>
            </a:graphicData>
          </a:graphic>
        </xdr:graphicFrame>
      </mc:Choice>
      <mc:Fallback xmlns="">
        <xdr:sp macro="" textlink="">
          <xdr:nvSpPr>
            <xdr:cNvPr id="0" name=""/>
            <xdr:cNvSpPr>
              <a:spLocks noTextEdit="1"/>
            </xdr:cNvSpPr>
          </xdr:nvSpPr>
          <xdr:spPr>
            <a:xfrm>
              <a:off x="8572500" y="1257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388620</xdr:colOff>
      <xdr:row>7</xdr:row>
      <xdr:rowOff>0</xdr:rowOff>
    </xdr:from>
    <xdr:to>
      <xdr:col>21</xdr:col>
      <xdr:colOff>419100</xdr:colOff>
      <xdr:row>21</xdr:row>
      <xdr:rowOff>20955</xdr:rowOff>
    </xdr:to>
    <mc:AlternateContent xmlns:mc="http://schemas.openxmlformats.org/markup-compatibility/2006" xmlns:a14="http://schemas.microsoft.com/office/drawing/2010/main">
      <mc:Choice Requires="a14">
        <xdr:graphicFrame macro="">
          <xdr:nvGraphicFramePr>
            <xdr:cNvPr id="2" name="Total (USD)">
              <a:extLst>
                <a:ext uri="{FF2B5EF4-FFF2-40B4-BE49-F238E27FC236}">
                  <a16:creationId xmlns:a16="http://schemas.microsoft.com/office/drawing/2014/main" xmlns="" id="{7CF180C0-8FAC-9011-1B17-5D9F1DA323A7}"/>
                </a:ext>
              </a:extLst>
            </xdr:cNvPr>
            <xdr:cNvGraphicFramePr/>
          </xdr:nvGraphicFramePr>
          <xdr:xfrm>
            <a:off x="0" y="0"/>
            <a:ext cx="0" cy="0"/>
          </xdr:xfrm>
          <a:graphic>
            <a:graphicData uri="http://schemas.microsoft.com/office/drawing/2010/slicer">
              <sle:slicer xmlns:sle="http://schemas.microsoft.com/office/drawing/2010/slicer" name="Total (USD)"/>
            </a:graphicData>
          </a:graphic>
        </xdr:graphicFrame>
      </mc:Choice>
      <mc:Fallback xmlns="">
        <xdr:sp macro="" textlink="">
          <xdr:nvSpPr>
            <xdr:cNvPr id="0" name=""/>
            <xdr:cNvSpPr>
              <a:spLocks noTextEdit="1"/>
            </xdr:cNvSpPr>
          </xdr:nvSpPr>
          <xdr:spPr>
            <a:xfrm>
              <a:off x="10614660" y="1280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5</xdr:row>
      <xdr:rowOff>163830</xdr:rowOff>
    </xdr:from>
    <xdr:to>
      <xdr:col>4</xdr:col>
      <xdr:colOff>7620</xdr:colOff>
      <xdr:row>20</xdr:row>
      <xdr:rowOff>7620</xdr:rowOff>
    </xdr:to>
    <xdr:graphicFrame macro="">
      <xdr:nvGraphicFramePr>
        <xdr:cNvPr id="2" name="Chart 1">
          <a:extLst>
            <a:ext uri="{FF2B5EF4-FFF2-40B4-BE49-F238E27FC236}">
              <a16:creationId xmlns:a16="http://schemas.microsoft.com/office/drawing/2014/main" xmlns="" id="{C7BA1BC2-4C4F-4B1D-BF4D-9061E8F5B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38100</xdr:rowOff>
    </xdr:from>
    <xdr:to>
      <xdr:col>23</xdr:col>
      <xdr:colOff>114060</xdr:colOff>
      <xdr:row>28</xdr:row>
      <xdr:rowOff>173460</xdr:rowOff>
    </xdr:to>
    <xdr:sp macro="" textlink="">
      <xdr:nvSpPr>
        <xdr:cNvPr id="2" name="Rectangle 1">
          <a:extLst>
            <a:ext uri="{FF2B5EF4-FFF2-40B4-BE49-F238E27FC236}">
              <a16:creationId xmlns:a16="http://schemas.microsoft.com/office/drawing/2014/main" xmlns="" id="{D13F31CE-A276-FAB9-7F80-A1F8091D4D3B}"/>
            </a:ext>
          </a:extLst>
        </xdr:cNvPr>
        <xdr:cNvSpPr/>
      </xdr:nvSpPr>
      <xdr:spPr>
        <a:xfrm>
          <a:off x="22860" y="38100"/>
          <a:ext cx="14112000" cy="5256000"/>
        </a:xfrm>
        <a:prstGeom prst="rect">
          <a:avLst/>
        </a:prstGeom>
        <a:gradFill>
          <a:gsLst>
            <a:gs pos="59000">
              <a:srgbClr val="DCDCDC"/>
            </a:gs>
            <a:gs pos="0">
              <a:schemeClr val="lt2">
                <a:tint val="93000"/>
                <a:satMod val="150000"/>
                <a:shade val="98000"/>
                <a:lumMod val="102000"/>
              </a:schemeClr>
            </a:gs>
            <a:gs pos="50000">
              <a:schemeClr val="lt2">
                <a:tint val="98000"/>
                <a:satMod val="130000"/>
                <a:shade val="90000"/>
                <a:lumMod val="103000"/>
              </a:schemeClr>
            </a:gs>
            <a:gs pos="100000">
              <a:schemeClr val="lt2">
                <a:shade val="63000"/>
                <a:satMod val="120000"/>
              </a:schemeClr>
            </a:gs>
          </a:gsLst>
        </a:gradFill>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0</xdr:row>
      <xdr:rowOff>76200</xdr:rowOff>
    </xdr:from>
    <xdr:to>
      <xdr:col>19</xdr:col>
      <xdr:colOff>586740</xdr:colOff>
      <xdr:row>4</xdr:row>
      <xdr:rowOff>38100</xdr:rowOff>
    </xdr:to>
    <xdr:sp macro="" textlink="">
      <xdr:nvSpPr>
        <xdr:cNvPr id="3" name="Rectangle 2">
          <a:extLst>
            <a:ext uri="{FF2B5EF4-FFF2-40B4-BE49-F238E27FC236}">
              <a16:creationId xmlns:a16="http://schemas.microsoft.com/office/drawing/2014/main" xmlns="" id="{35FAB052-FA03-B8A3-75E8-8A74D34A00FC}"/>
            </a:ext>
          </a:extLst>
        </xdr:cNvPr>
        <xdr:cNvSpPr/>
      </xdr:nvSpPr>
      <xdr:spPr>
        <a:xfrm>
          <a:off x="60960" y="76200"/>
          <a:ext cx="12108180" cy="69342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2800" b="1" i="1">
              <a:solidFill>
                <a:schemeClr val="bg1"/>
              </a:solidFill>
              <a:latin typeface="Arial" panose="020B0604020202020204" pitchFamily="34" charset="0"/>
              <a:cs typeface="Arial" panose="020B0604020202020204" pitchFamily="34" charset="0"/>
            </a:rPr>
            <a:t>Supermarket Sales Dashboard</a:t>
          </a:r>
        </a:p>
      </xdr:txBody>
    </xdr:sp>
    <xdr:clientData/>
  </xdr:twoCellAnchor>
  <xdr:twoCellAnchor>
    <xdr:from>
      <xdr:col>20</xdr:col>
      <xdr:colOff>22860</xdr:colOff>
      <xdr:row>0</xdr:row>
      <xdr:rowOff>83820</xdr:rowOff>
    </xdr:from>
    <xdr:to>
      <xdr:col>23</xdr:col>
      <xdr:colOff>76200</xdr:colOff>
      <xdr:row>28</xdr:row>
      <xdr:rowOff>147180</xdr:rowOff>
    </xdr:to>
    <xdr:sp macro="" textlink="">
      <xdr:nvSpPr>
        <xdr:cNvPr id="4" name="Rectangle 3">
          <a:extLst>
            <a:ext uri="{FF2B5EF4-FFF2-40B4-BE49-F238E27FC236}">
              <a16:creationId xmlns:a16="http://schemas.microsoft.com/office/drawing/2014/main" xmlns="" id="{EDF02230-8C51-CFE8-BD60-DE6CD2D06679}"/>
            </a:ext>
          </a:extLst>
        </xdr:cNvPr>
        <xdr:cNvSpPr/>
      </xdr:nvSpPr>
      <xdr:spPr>
        <a:xfrm>
          <a:off x="12214860" y="83820"/>
          <a:ext cx="1882140" cy="51840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53340</xdr:colOff>
      <xdr:row>4</xdr:row>
      <xdr:rowOff>68580</xdr:rowOff>
    </xdr:from>
    <xdr:to>
      <xdr:col>4</xdr:col>
      <xdr:colOff>533400</xdr:colOff>
      <xdr:row>28</xdr:row>
      <xdr:rowOff>114300</xdr:rowOff>
    </xdr:to>
    <xdr:graphicFrame macro="">
      <xdr:nvGraphicFramePr>
        <xdr:cNvPr id="6" name="Chart 5">
          <a:extLst>
            <a:ext uri="{FF2B5EF4-FFF2-40B4-BE49-F238E27FC236}">
              <a16:creationId xmlns:a16="http://schemas.microsoft.com/office/drawing/2014/main" xmlns="" id="{5DC6EBE6-D9DA-48A7-A672-02E177C33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60960</xdr:colOff>
      <xdr:row>0</xdr:row>
      <xdr:rowOff>121920</xdr:rowOff>
    </xdr:from>
    <xdr:to>
      <xdr:col>23</xdr:col>
      <xdr:colOff>60960</xdr:colOff>
      <xdr:row>5</xdr:row>
      <xdr:rowOff>121920</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xmlns="" id="{3B9116E9-652A-426E-A537-601CB8122EF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252960" y="121920"/>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548640</xdr:colOff>
      <xdr:row>4</xdr:row>
      <xdr:rowOff>76200</xdr:rowOff>
    </xdr:from>
    <xdr:to>
      <xdr:col>9</xdr:col>
      <xdr:colOff>365760</xdr:colOff>
      <xdr:row>16</xdr:row>
      <xdr:rowOff>68580</xdr:rowOff>
    </xdr:to>
    <xdr:graphicFrame macro="">
      <xdr:nvGraphicFramePr>
        <xdr:cNvPr id="10" name="Chart 9">
          <a:extLst>
            <a:ext uri="{FF2B5EF4-FFF2-40B4-BE49-F238E27FC236}">
              <a16:creationId xmlns:a16="http://schemas.microsoft.com/office/drawing/2014/main" xmlns="" id="{DE8B52C5-7EBD-400B-8D22-3C516775F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53340</xdr:colOff>
      <xdr:row>5</xdr:row>
      <xdr:rowOff>144780</xdr:rowOff>
    </xdr:from>
    <xdr:to>
      <xdr:col>23</xdr:col>
      <xdr:colOff>53340</xdr:colOff>
      <xdr:row>10</xdr:row>
      <xdr:rowOff>114300</xdr:rowOff>
    </xdr:to>
    <mc:AlternateContent xmlns:mc="http://schemas.openxmlformats.org/markup-compatibility/2006" xmlns:a14="http://schemas.microsoft.com/office/drawing/2010/main">
      <mc:Choice Requires="a14">
        <xdr:graphicFrame macro="">
          <xdr:nvGraphicFramePr>
            <xdr:cNvPr id="12" name="Age 1">
              <a:extLst>
                <a:ext uri="{FF2B5EF4-FFF2-40B4-BE49-F238E27FC236}">
                  <a16:creationId xmlns:a16="http://schemas.microsoft.com/office/drawing/2014/main" xmlns="" id="{E30F68CA-E894-4EBA-8221-B8B676BAE7F3}"/>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2245340" y="1059180"/>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160020</xdr:colOff>
      <xdr:row>4</xdr:row>
      <xdr:rowOff>60960</xdr:rowOff>
    </xdr:from>
    <xdr:to>
      <xdr:col>20</xdr:col>
      <xdr:colOff>22860</xdr:colOff>
      <xdr:row>15</xdr:row>
      <xdr:rowOff>137160</xdr:rowOff>
    </xdr:to>
    <xdr:graphicFrame macro="">
      <xdr:nvGraphicFramePr>
        <xdr:cNvPr id="14" name="Chart 13">
          <a:extLst>
            <a:ext uri="{FF2B5EF4-FFF2-40B4-BE49-F238E27FC236}">
              <a16:creationId xmlns:a16="http://schemas.microsoft.com/office/drawing/2014/main" xmlns="" id="{A20022A8-605D-4FFA-BFF1-5E6305E84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556260</xdr:colOff>
      <xdr:row>16</xdr:row>
      <xdr:rowOff>7620</xdr:rowOff>
    </xdr:from>
    <xdr:to>
      <xdr:col>20</xdr:col>
      <xdr:colOff>7620</xdr:colOff>
      <xdr:row>28</xdr:row>
      <xdr:rowOff>106680</xdr:rowOff>
    </xdr:to>
    <xdr:graphicFrame macro="">
      <xdr:nvGraphicFramePr>
        <xdr:cNvPr id="7" name="Chart 6">
          <a:extLst>
            <a:ext uri="{FF2B5EF4-FFF2-40B4-BE49-F238E27FC236}">
              <a16:creationId xmlns:a16="http://schemas.microsoft.com/office/drawing/2014/main" xmlns="" id="{33EC11EB-EEE9-48EB-BE65-CE172AE39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426720</xdr:colOff>
      <xdr:row>5</xdr:row>
      <xdr:rowOff>60960</xdr:rowOff>
    </xdr:from>
    <xdr:to>
      <xdr:col>12</xdr:col>
      <xdr:colOff>99060</xdr:colOff>
      <xdr:row>9</xdr:row>
      <xdr:rowOff>22860</xdr:rowOff>
    </xdr:to>
    <xdr:sp macro="" textlink="">
      <xdr:nvSpPr>
        <xdr:cNvPr id="9" name="Rectangle 8">
          <a:extLst>
            <a:ext uri="{FF2B5EF4-FFF2-40B4-BE49-F238E27FC236}">
              <a16:creationId xmlns:a16="http://schemas.microsoft.com/office/drawing/2014/main" xmlns="" id="{36462F4A-1ADC-75EE-BA63-ADD402AB2E39}"/>
            </a:ext>
          </a:extLst>
        </xdr:cNvPr>
        <xdr:cNvSpPr/>
      </xdr:nvSpPr>
      <xdr:spPr>
        <a:xfrm>
          <a:off x="5913120" y="975360"/>
          <a:ext cx="1501140" cy="693420"/>
        </a:xfrm>
        <a:prstGeom prst="rect">
          <a:avLst/>
        </a:prstGeom>
        <a:solidFill>
          <a:schemeClr val="bg2"/>
        </a:solidFill>
        <a:ln>
          <a:solidFill>
            <a:schemeClr val="tx1"/>
          </a:solid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aseline="0">
              <a:solidFill>
                <a:sysClr val="windowText" lastClr="000000"/>
              </a:solidFill>
            </a:rPr>
            <a:t>Avg Total Price</a:t>
          </a:r>
          <a:r>
            <a:rPr lang="en-IN" sz="1200" b="1" i="0" u="none" strike="noStrike">
              <a:solidFill>
                <a:schemeClr val="lt1"/>
              </a:solidFill>
              <a:effectLst/>
              <a:latin typeface="+mn-lt"/>
              <a:ea typeface="+mn-ea"/>
              <a:cs typeface="+mn-cs"/>
            </a:rPr>
            <a:t> </a:t>
          </a:r>
          <a:r>
            <a:rPr lang="en-IN" sz="1600" b="0" i="0" u="none" strike="noStrike">
              <a:solidFill>
                <a:sysClr val="windowText" lastClr="000000"/>
              </a:solidFill>
              <a:effectLst/>
              <a:latin typeface="+mn-lt"/>
              <a:ea typeface="+mn-ea"/>
              <a:cs typeface="+mn-cs"/>
            </a:rPr>
            <a:t>                                            $ 155 </a:t>
          </a:r>
          <a:endParaRPr lang="en-IN" sz="2800" b="0" baseline="0">
            <a:solidFill>
              <a:sysClr val="windowText" lastClr="000000"/>
            </a:solidFill>
          </a:endParaRPr>
        </a:p>
        <a:p>
          <a:pPr algn="ctr"/>
          <a:endParaRPr lang="en-IN" sz="1600">
            <a:solidFill>
              <a:sysClr val="windowText" lastClr="000000"/>
            </a:solidFill>
          </a:endParaRPr>
        </a:p>
      </xdr:txBody>
    </xdr:sp>
    <xdr:clientData/>
  </xdr:twoCellAnchor>
  <xdr:twoCellAnchor>
    <xdr:from>
      <xdr:col>9</xdr:col>
      <xdr:colOff>434340</xdr:colOff>
      <xdr:row>10</xdr:row>
      <xdr:rowOff>114300</xdr:rowOff>
    </xdr:from>
    <xdr:to>
      <xdr:col>12</xdr:col>
      <xdr:colOff>106680</xdr:colOff>
      <xdr:row>14</xdr:row>
      <xdr:rowOff>137160</xdr:rowOff>
    </xdr:to>
    <xdr:sp macro="" textlink="">
      <xdr:nvSpPr>
        <xdr:cNvPr id="13" name="Rectangle 12">
          <a:extLst>
            <a:ext uri="{FF2B5EF4-FFF2-40B4-BE49-F238E27FC236}">
              <a16:creationId xmlns:a16="http://schemas.microsoft.com/office/drawing/2014/main" xmlns="" id="{5CD0C76D-4458-4816-AE26-64FF577E64BE}"/>
            </a:ext>
          </a:extLst>
        </xdr:cNvPr>
        <xdr:cNvSpPr/>
      </xdr:nvSpPr>
      <xdr:spPr>
        <a:xfrm>
          <a:off x="5920740" y="1943100"/>
          <a:ext cx="1501140" cy="754380"/>
        </a:xfrm>
        <a:prstGeom prst="rect">
          <a:avLst/>
        </a:prstGeom>
        <a:solidFill>
          <a:schemeClr val="bg2"/>
        </a:solidFill>
        <a:ln>
          <a:solidFill>
            <a:schemeClr val="tx1"/>
          </a:solidFill>
        </a:ln>
        <a:effectLst>
          <a:outerShdw blurRad="76200" dist="12700" dir="8100000" sy="-23000" kx="8004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aseline="0">
              <a:solidFill>
                <a:sysClr val="windowText" lastClr="000000"/>
              </a:solidFill>
            </a:rPr>
            <a:t>Avg Tax</a:t>
          </a:r>
          <a:r>
            <a:rPr lang="en-IN" sz="1200" b="1" i="0" u="none" strike="noStrike">
              <a:solidFill>
                <a:schemeClr val="lt1"/>
              </a:solidFill>
              <a:effectLst/>
              <a:latin typeface="+mn-lt"/>
              <a:ea typeface="+mn-ea"/>
              <a:cs typeface="+mn-cs"/>
            </a:rPr>
            <a:t> </a:t>
          </a:r>
          <a:r>
            <a:rPr lang="en-IN" sz="1600" b="0" i="0" u="none" strike="noStrike">
              <a:solidFill>
                <a:sysClr val="windowText" lastClr="000000"/>
              </a:solidFill>
              <a:effectLst/>
              <a:latin typeface="+mn-lt"/>
              <a:ea typeface="+mn-ea"/>
              <a:cs typeface="+mn-cs"/>
            </a:rPr>
            <a:t>                                          </a:t>
          </a:r>
          <a:endParaRPr lang="en-IN" sz="2800" b="0" baseline="0">
            <a:solidFill>
              <a:sysClr val="windowText" lastClr="000000"/>
            </a:solidFill>
          </a:endParaRPr>
        </a:p>
        <a:p>
          <a:pPr algn="ctr"/>
          <a:r>
            <a:rPr lang="en-IN" sz="1800" b="0" i="0" u="none" strike="noStrike">
              <a:solidFill>
                <a:sysClr val="windowText" lastClr="000000"/>
              </a:solidFill>
              <a:effectLst/>
              <a:latin typeface="+mn-lt"/>
              <a:ea typeface="+mn-ea"/>
              <a:cs typeface="+mn-cs"/>
            </a:rPr>
            <a:t> $  14 </a:t>
          </a:r>
          <a:endParaRPr lang="en-IN" sz="2800" b="0">
            <a:solidFill>
              <a:sysClr val="windowText" lastClr="000000"/>
            </a:solidFill>
          </a:endParaRPr>
        </a:p>
      </xdr:txBody>
    </xdr:sp>
    <xdr:clientData/>
  </xdr:twoCellAnchor>
  <xdr:twoCellAnchor>
    <xdr:from>
      <xdr:col>4</xdr:col>
      <xdr:colOff>586740</xdr:colOff>
      <xdr:row>16</xdr:row>
      <xdr:rowOff>121920</xdr:rowOff>
    </xdr:from>
    <xdr:to>
      <xdr:col>10</xdr:col>
      <xdr:colOff>472440</xdr:colOff>
      <xdr:row>28</xdr:row>
      <xdr:rowOff>64770</xdr:rowOff>
    </xdr:to>
    <xdr:graphicFrame macro="">
      <xdr:nvGraphicFramePr>
        <xdr:cNvPr id="11" name="Chart 10">
          <a:extLst>
            <a:ext uri="{FF2B5EF4-FFF2-40B4-BE49-F238E27FC236}">
              <a16:creationId xmlns:a16="http://schemas.microsoft.com/office/drawing/2014/main" xmlns="" id="{01DF061D-216B-4C89-8349-6199D3636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76200</xdr:colOff>
      <xdr:row>10</xdr:row>
      <xdr:rowOff>144780</xdr:rowOff>
    </xdr:from>
    <xdr:to>
      <xdr:col>23</xdr:col>
      <xdr:colOff>76200</xdr:colOff>
      <xdr:row>18</xdr:row>
      <xdr:rowOff>144780</xdr:rowOff>
    </xdr:to>
    <mc:AlternateContent xmlns:mc="http://schemas.openxmlformats.org/markup-compatibility/2006" xmlns:a14="http://schemas.microsoft.com/office/drawing/2010/main">
      <mc:Choice Requires="a14">
        <xdr:graphicFrame macro="">
          <xdr:nvGraphicFramePr>
            <xdr:cNvPr id="18" name="Customer Name 1">
              <a:extLst>
                <a:ext uri="{FF2B5EF4-FFF2-40B4-BE49-F238E27FC236}">
                  <a16:creationId xmlns:a16="http://schemas.microsoft.com/office/drawing/2014/main" xmlns="" id="{05AD8BD2-963C-408B-BF69-D51D620BAD3E}"/>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12268200" y="1973580"/>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91440</xdr:colOff>
      <xdr:row>18</xdr:row>
      <xdr:rowOff>160020</xdr:rowOff>
    </xdr:from>
    <xdr:to>
      <xdr:col>23</xdr:col>
      <xdr:colOff>91440</xdr:colOff>
      <xdr:row>28</xdr:row>
      <xdr:rowOff>38101</xdr:rowOff>
    </xdr:to>
    <mc:AlternateContent xmlns:mc="http://schemas.openxmlformats.org/markup-compatibility/2006" xmlns:a14="http://schemas.microsoft.com/office/drawing/2010/main">
      <mc:Choice Requires="a14">
        <xdr:graphicFrame macro="">
          <xdr:nvGraphicFramePr>
            <xdr:cNvPr id="15" name="Total (USD) 2">
              <a:extLst>
                <a:ext uri="{FF2B5EF4-FFF2-40B4-BE49-F238E27FC236}">
                  <a16:creationId xmlns:a16="http://schemas.microsoft.com/office/drawing/2014/main" xmlns="" id="{2F647C82-B96B-4833-B3D7-8930AA5C84CA}"/>
                </a:ext>
              </a:extLst>
            </xdr:cNvPr>
            <xdr:cNvGraphicFramePr/>
          </xdr:nvGraphicFramePr>
          <xdr:xfrm>
            <a:off x="0" y="0"/>
            <a:ext cx="0" cy="0"/>
          </xdr:xfrm>
          <a:graphic>
            <a:graphicData uri="http://schemas.microsoft.com/office/drawing/2010/slicer">
              <sle:slicer xmlns:sle="http://schemas.microsoft.com/office/drawing/2010/slicer" name="Total (USD) 2"/>
            </a:graphicData>
          </a:graphic>
        </xdr:graphicFrame>
      </mc:Choice>
      <mc:Fallback xmlns="">
        <xdr:sp macro="" textlink="">
          <xdr:nvSpPr>
            <xdr:cNvPr id="0" name=""/>
            <xdr:cNvSpPr>
              <a:spLocks noTextEdit="1"/>
            </xdr:cNvSpPr>
          </xdr:nvSpPr>
          <xdr:spPr>
            <a:xfrm>
              <a:off x="12283440" y="3451860"/>
              <a:ext cx="1828800" cy="1706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26670</xdr:rowOff>
    </xdr:from>
    <xdr:to>
      <xdr:col>3</xdr:col>
      <xdr:colOff>179070</xdr:colOff>
      <xdr:row>21</xdr:row>
      <xdr:rowOff>38100</xdr:rowOff>
    </xdr:to>
    <xdr:graphicFrame macro="">
      <xdr:nvGraphicFramePr>
        <xdr:cNvPr id="2" name="Chart 1">
          <a:extLst>
            <a:ext uri="{FF2B5EF4-FFF2-40B4-BE49-F238E27FC236}">
              <a16:creationId xmlns:a16="http://schemas.microsoft.com/office/drawing/2014/main" xmlns="" id="{26739CBB-E1E3-48C5-AA1D-E4376142D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182880</xdr:colOff>
      <xdr:row>7</xdr:row>
      <xdr:rowOff>3810</xdr:rowOff>
    </xdr:from>
    <xdr:to>
      <xdr:col>10</xdr:col>
      <xdr:colOff>487680</xdr:colOff>
      <xdr:row>22</xdr:row>
      <xdr:rowOff>3810</xdr:rowOff>
    </xdr:to>
    <xdr:graphicFrame macro="">
      <xdr:nvGraphicFramePr>
        <xdr:cNvPr id="2" name="Chart 1">
          <a:extLst>
            <a:ext uri="{FF2B5EF4-FFF2-40B4-BE49-F238E27FC236}">
              <a16:creationId xmlns:a16="http://schemas.microsoft.com/office/drawing/2014/main" xmlns="" id="{36214E03-662E-7D87-1E39-7E8BE68B7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259080</xdr:colOff>
      <xdr:row>7</xdr:row>
      <xdr:rowOff>3810</xdr:rowOff>
    </xdr:from>
    <xdr:to>
      <xdr:col>6</xdr:col>
      <xdr:colOff>434340</xdr:colOff>
      <xdr:row>18</xdr:row>
      <xdr:rowOff>129540</xdr:rowOff>
    </xdr:to>
    <xdr:graphicFrame macro="">
      <xdr:nvGraphicFramePr>
        <xdr:cNvPr id="3" name="Chart 2">
          <a:extLst>
            <a:ext uri="{FF2B5EF4-FFF2-40B4-BE49-F238E27FC236}">
              <a16:creationId xmlns:a16="http://schemas.microsoft.com/office/drawing/2014/main" xmlns="" id="{6BD9AC09-E3FE-F5F5-9C91-C39C6C4D0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onam" refreshedDate="46063.860632638891" createdVersion="6" refreshedVersion="6" minRefreshableVersion="3" recordCount="70">
  <cacheSource type="worksheet">
    <worksheetSource name="Table1"/>
  </cacheSource>
  <cacheFields count="15">
    <cacheField name="Order No" numFmtId="0">
      <sharedItems count="70">
        <s v="1001"/>
        <s v="1002"/>
        <s v="1003"/>
        <s v="1004"/>
        <s v="1005"/>
        <s v="1006"/>
        <s v="1007"/>
        <s v="1008"/>
        <s v="1009"/>
        <s v="1010"/>
        <s v="1011"/>
        <s v="1012"/>
        <s v="1013"/>
        <s v="1014"/>
        <s v="1015"/>
        <s v="1016"/>
        <s v="1017"/>
        <s v="1018"/>
        <s v="1019"/>
        <s v="1020"/>
        <s v="1021"/>
        <s v="1022"/>
        <s v="1023"/>
        <s v="1024"/>
        <s v="1025"/>
        <s v="1026"/>
        <s v="1027"/>
        <s v="1028"/>
        <s v="1029"/>
        <s v="1030"/>
        <s v="1031"/>
        <s v="1032"/>
        <s v="1033"/>
        <s v="1034"/>
        <s v="1035"/>
        <s v="1036"/>
        <s v="1037"/>
        <s v="1038"/>
        <s v="1039"/>
        <s v="1040"/>
        <s v="1041"/>
        <s v="1042"/>
        <s v="1043"/>
        <s v="1044"/>
        <s v="1045"/>
        <s v="1046"/>
        <s v="1047"/>
        <s v="1048"/>
        <s v="1049"/>
        <s v="1050"/>
        <s v="1051"/>
        <s v="1052"/>
        <s v="1053"/>
        <s v="1054"/>
        <s v="1055"/>
        <s v="1056"/>
        <s v="1057"/>
        <s v="1058"/>
        <s v="1059"/>
        <s v="1060"/>
        <s v="1061"/>
        <s v="1062"/>
        <s v="1063"/>
        <s v="1064"/>
        <s v="1065"/>
        <s v="1066"/>
        <s v="1067"/>
        <s v="1068"/>
        <s v="1069"/>
        <s v="1070"/>
      </sharedItems>
    </cacheField>
    <cacheField name="Order Date" numFmtId="14">
      <sharedItems containsSemiMixedTypes="0" containsNonDate="0" containsDate="1" containsString="0" minDate="2024-01-01T00:00:00" maxDate="2024-02-05T00:00:00" count="3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sharedItems>
      <fieldGroup par="12" base="1">
        <rangePr groupBy="days" startDate="2024-01-01T00:00:00" endDate="2024-02-05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2-2024"/>
        </groupItems>
      </fieldGroup>
    </cacheField>
    <cacheField name="Customer Name" numFmtId="0">
      <sharedItems count="51">
        <s v="John Smith"/>
        <s v="Jane Doe"/>
        <s v="Michael Johnson"/>
        <s v="Emily Brown"/>
        <s v="David Wilson"/>
        <s v="Lisa Taylor"/>
        <s v="Daniel Martinez"/>
        <s v="Sarah Anderson"/>
        <s v="Christopher Thomas"/>
        <s v="Kimberly Garcia"/>
        <s v="William Hernandez"/>
        <s v="Melissa Lopez"/>
        <s v="Richard Perez"/>
        <s v="Jessica Gonzalez"/>
        <s v="Matthew Wilson"/>
        <s v="Amanda Martinez"/>
        <s v="James Johnson"/>
        <s v="Laura Brown"/>
        <s v="Daniel Smith"/>
        <s v="Jennifer Davis"/>
        <s v="Michael Garcia"/>
        <s v="Amy Hernandez"/>
        <s v="Christopher Rodriguez"/>
        <s v="Jessica Martinez"/>
        <s v="Sarah Smith"/>
        <s v="Matthew Johnson"/>
        <s v="Emily Davis"/>
        <s v="Daniel Wilson"/>
        <s v="Jennifer Martinez"/>
        <s v="Michael Smith"/>
        <s v="Jessica Johnson"/>
        <s v="David Brown"/>
        <s v="Sarah Garcia"/>
        <s v="Matthew Hernandez"/>
        <s v="Emily Rodriguez"/>
        <s v="Daniel Davis"/>
        <s v="Jennifer Smith"/>
        <s v="Sarah Johnson"/>
        <s v="Matthew Garcia"/>
        <s v="Daniel Hernandez"/>
        <s v="Michael Martinez"/>
        <s v="Jessica Wilson"/>
        <s v="David Rodriguez"/>
        <s v="Sarah Gonzalez"/>
        <s v="Matthew Smith"/>
        <s v="Emily Johnson"/>
        <s v="Daniel Brown"/>
        <s v="Jennifer Hernandez"/>
        <s v="Michael Davis"/>
        <s v="Jessica Smith"/>
        <s v="David Martinez"/>
      </sharedItems>
    </cacheField>
    <cacheField name="Age" numFmtId="0">
      <sharedItems containsSemiMixedTypes="0" containsString="0" containsNumber="1" containsInteger="1" minValue="20" maxValue="50" count="23">
        <n v="22"/>
        <n v="29"/>
        <n v="28"/>
        <n v="30"/>
        <n v="32"/>
        <n v="40"/>
        <n v="48"/>
        <n v="26"/>
        <n v="27"/>
        <n v="31"/>
        <n v="33"/>
        <n v="34"/>
        <n v="35"/>
        <n v="47"/>
        <n v="46"/>
        <n v="45"/>
        <n v="44"/>
        <n v="43"/>
        <n v="42"/>
        <n v="41"/>
        <n v="20"/>
        <n v="24"/>
        <n v="50"/>
      </sharedItems>
      <fieldGroup base="3">
        <rangePr startNum="20" endNum="50" groupInterval="15"/>
        <groupItems count="4">
          <s v="&lt;20"/>
          <s v="20-34"/>
          <s v="35-50"/>
          <s v="&gt;50"/>
        </groupItems>
      </fieldGroup>
    </cacheField>
    <cacheField name="Ship Date" numFmtId="14">
      <sharedItems containsSemiMixedTypes="0" containsNonDate="0" containsDate="1" containsString="0" minDate="2024-01-03T00:00:00" maxDate="2024-02-09T00:00:00" count="34">
        <d v="2024-01-03T00:00:00"/>
        <d v="2024-01-04T00:00:00"/>
        <d v="2024-01-07T00:00:00"/>
        <d v="2024-01-08T00:00:00"/>
        <d v="2024-01-06T00:00:00"/>
        <d v="2024-01-09T00:00:00"/>
        <d v="2024-01-12T00:00:00"/>
        <d v="2024-01-13T00:00:00"/>
        <d v="2024-01-14T00:00:00"/>
        <d v="2024-01-11T00:00:00"/>
        <d v="2024-01-15T00:00:00"/>
        <d v="2024-01-17T00:00:00"/>
        <d v="2024-01-18T00:00:00"/>
        <d v="2024-01-19T00:00:00"/>
        <d v="2024-01-23T00:00:00"/>
        <d v="2024-01-20T00:00:00"/>
        <d v="2024-01-22T00:00:00"/>
        <d v="2024-01-24T00:00:00"/>
        <d v="2024-01-21T00:00:00"/>
        <d v="2024-01-26T00:00:00"/>
        <d v="2024-01-25T00:00:00"/>
        <d v="2024-01-27T00:00:00"/>
        <d v="2024-01-30T00:00:00"/>
        <d v="2024-01-29T00:00:00"/>
        <d v="2024-01-28T00:00:00"/>
        <d v="2024-01-31T00:00:00"/>
        <d v="2024-02-01T00:00:00"/>
        <d v="2024-02-02T00:00:00"/>
        <d v="2024-02-04T00:00:00"/>
        <d v="2024-02-05T00:00:00"/>
        <d v="2024-02-03T00:00:00"/>
        <d v="2024-02-06T00:00:00"/>
        <d v="2024-02-08T00:00:00"/>
        <d v="2024-02-07T00:00:00"/>
      </sharedItems>
      <fieldGroup par="14"/>
    </cacheField>
    <cacheField name="month" numFmtId="14">
      <sharedItems count="2">
        <s v="Jan"/>
        <s v="Feb"/>
      </sharedItems>
    </cacheField>
    <cacheField name="Retail Price (USD)" numFmtId="0">
      <sharedItems containsSemiMixedTypes="0" containsString="0" containsNumber="1" minValue="19.989999999999998" maxValue="199.99"/>
    </cacheField>
    <cacheField name="Order Quantity" numFmtId="0">
      <sharedItems containsSemiMixedTypes="0" containsString="0" containsNumber="1" containsInteger="1" minValue="1" maxValue="5"/>
    </cacheField>
    <cacheField name="Tax (USD)" numFmtId="0">
      <sharedItems containsSemiMixedTypes="0" containsString="0" containsNumber="1" minValue="2.9990000000000001" maxValue="29.997" count="14">
        <n v="9.9980000000000011"/>
        <n v="2.9990000000000001"/>
        <n v="29.997"/>
        <n v="7.9959999999999996"/>
        <n v="14.999000000000002"/>
        <n v="15.997999999999999"/>
        <n v="13.5"/>
        <n v="13.997999999999999"/>
        <n v="8.9990000000000006"/>
        <n v="19.999000000000002"/>
        <n v="14.994999999999999"/>
        <n v="14.997"/>
        <n v="12.999000000000002"/>
        <n v="11.997"/>
      </sharedItems>
    </cacheField>
    <cacheField name="Total (USD)" numFmtId="0">
      <sharedItems containsSemiMixedTypes="0" containsString="0" containsNumber="1" minValue="32.988999999999997" maxValue="329.96699999999998"/>
    </cacheField>
    <cacheField name="Column1" numFmtId="0">
      <sharedItems containsNonDate="0" containsString="0" containsBlank="1"/>
    </cacheField>
    <cacheField name="Total Retail Price" numFmtId="0" formula="'Retail Price (USD)'*'Order Quantity'" databaseField="0"/>
    <cacheField name="Months" numFmtId="0" databaseField="0">
      <fieldGroup base="1">
        <rangePr groupBy="months" startDate="2024-01-01T00:00:00" endDate="2024-02-05T00:00:00"/>
        <groupItems count="14">
          <s v="&lt;01-01-2024"/>
          <s v="Jan"/>
          <s v="Feb"/>
          <s v="Mar"/>
          <s v="Apr"/>
          <s v="May"/>
          <s v="Jun"/>
          <s v="Jul"/>
          <s v="Aug"/>
          <s v="Sep"/>
          <s v="Oct"/>
          <s v="Nov"/>
          <s v="Dec"/>
          <s v="&gt;05-02-2024"/>
        </groupItems>
      </fieldGroup>
    </cacheField>
    <cacheField name="Days (Ship Date)" numFmtId="0" databaseField="0">
      <fieldGroup base="4">
        <rangePr groupBy="days" startDate="2024-01-03T00:00:00" endDate="2024-02-09T00:00:00"/>
        <groupItems count="368">
          <s v="&lt;03-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2-2024"/>
        </groupItems>
      </fieldGroup>
    </cacheField>
    <cacheField name="Months (Ship Date)" numFmtId="0" databaseField="0">
      <fieldGroup base="4">
        <rangePr groupBy="months" startDate="2024-01-03T00:00:00" endDate="2024-02-09T00:00:00"/>
        <groupItems count="14">
          <s v="&lt;03-01-2024"/>
          <s v="Jan"/>
          <s v="Feb"/>
          <s v="Mar"/>
          <s v="Apr"/>
          <s v="May"/>
          <s v="Jun"/>
          <s v="Jul"/>
          <s v="Aug"/>
          <s v="Sep"/>
          <s v="Oct"/>
          <s v="Nov"/>
          <s v="Dec"/>
          <s v="&gt;09-02-2024"/>
        </groupItems>
      </fieldGroup>
    </cacheField>
  </cacheFields>
  <extLst>
    <ext xmlns:x14="http://schemas.microsoft.com/office/spreadsheetml/2009/9/main" uri="{725AE2AE-9491-48be-B2B4-4EB974FC3084}">
      <x14:pivotCacheDefinition pivotCacheId="770851077"/>
    </ext>
  </extLst>
</pivotCacheDefinition>
</file>

<file path=xl/pivotCache/pivotCacheDefinition2.xml><?xml version="1.0" encoding="utf-8"?>
<pivotCacheDefinition xmlns="http://schemas.openxmlformats.org/spreadsheetml/2006/main" xmlns:r="http://schemas.openxmlformats.org/officeDocument/2006/relationships" r:id="rId1" refreshedBy="Sonam" refreshedDate="46084.875297453706" createdVersion="6" refreshedVersion="8" minRefreshableVersion="3" recordCount="51">
  <cacheSource type="worksheet">
    <worksheetSource ref="B8:K59" sheet="SuperMarket Sales"/>
  </cacheSource>
  <cacheFields count="11">
    <cacheField name="Order No" numFmtId="0">
      <sharedItems/>
    </cacheField>
    <cacheField name="Order Date" numFmtId="14">
      <sharedItems containsSemiMixedTypes="0" containsNonDate="0" containsDate="1" containsString="0" minDate="2024-01-01T00:00:00" maxDate="2024-01-30T00:00:00" count="28">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1T00:00:00"/>
        <d v="2024-01-22T00:00:00"/>
        <d v="2024-01-23T00:00:00"/>
        <d v="2024-01-24T00:00:00"/>
        <d v="2024-01-25T00:00:00"/>
        <d v="2024-01-26T00:00:00"/>
        <d v="2024-01-27T00:00:00"/>
        <d v="2024-01-28T00:00:00"/>
        <d v="2024-01-29T00:00:00"/>
      </sharedItems>
      <fieldGroup par="10" base="1">
        <rangePr groupBy="days" startDate="2024-01-01T00:00:00" endDate="2024-01-3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1-2024"/>
        </groupItems>
      </fieldGroup>
    </cacheField>
    <cacheField name="Customer Name" numFmtId="0">
      <sharedItems count="51">
        <s v="John Smith"/>
        <s v="Jane Doe"/>
        <s v="Michael Johnson"/>
        <s v="Emily Brown"/>
        <s v="David Wilson"/>
        <s v="Lisa Taylor"/>
        <s v="Daniel Martinez"/>
        <s v="Sarah Anderson"/>
        <s v="Christopher Thomas"/>
        <s v="Kimberly Garcia"/>
        <s v="William Hernandez"/>
        <s v="Melissa Lopez"/>
        <s v="Richard Perez"/>
        <s v="Jessica Gonzalez"/>
        <s v="Matthew Wilson"/>
        <s v="Amanda Martinez"/>
        <s v="James Johnson"/>
        <s v="Laura Brown"/>
        <s v="Daniel Smith"/>
        <s v="Jennifer Davis"/>
        <s v="Michael Garcia"/>
        <s v="Amy Hernandez"/>
        <s v="Christopher Rodriguez"/>
        <s v="Jessica Martinez"/>
        <s v="Sarah Smith"/>
        <s v="Matthew Johnson"/>
        <s v="Emily Davis"/>
        <s v="Daniel Wilson"/>
        <s v="Jennifer Martinez"/>
        <s v="Michael Smith"/>
        <s v="Jessica Johnson"/>
        <s v="David Brown"/>
        <s v="Sarah Garcia"/>
        <s v="Matthew Hernandez"/>
        <s v="Emily Rodriguez"/>
        <s v="Daniel Davis"/>
        <s v="Jennifer Smith"/>
        <s v="Sarah Johnson"/>
        <s v="Matthew Garcia"/>
        <s v="Daniel Hernandez"/>
        <s v="Michael Martinez"/>
        <s v="Jessica Wilson"/>
        <s v="David Rodriguez"/>
        <s v="Sarah Gonzalez"/>
        <s v="Matthew Smith"/>
        <s v="Emily Johnson"/>
        <s v="Daniel Brown"/>
        <s v="Jennifer Hernandez"/>
        <s v="Michael Davis"/>
        <s v="Jessica Smith"/>
        <s v="David Martinez"/>
      </sharedItems>
    </cacheField>
    <cacheField name="Age" numFmtId="0">
      <sharedItems containsSemiMixedTypes="0" containsString="0" containsNumber="1" containsInteger="1" minValue="20" maxValue="50"/>
    </cacheField>
    <cacheField name="Ship Date" numFmtId="14">
      <sharedItems containsSemiMixedTypes="0" containsNonDate="0" containsDate="1" containsString="0" minDate="2024-01-03T00:00:00" maxDate="2024-02-01T00:00:00"/>
    </cacheField>
    <cacheField name="month" numFmtId="14">
      <sharedItems/>
    </cacheField>
    <cacheField name="Retail Price (USD)" numFmtId="0">
      <sharedItems containsSemiMixedTypes="0" containsString="0" containsNumber="1" minValue="19.989999999999998" maxValue="199.99"/>
    </cacheField>
    <cacheField name="Order Quantity" numFmtId="0">
      <sharedItems containsSemiMixedTypes="0" containsString="0" containsNumber="1" containsInteger="1" minValue="1" maxValue="5"/>
    </cacheField>
    <cacheField name="Tax (USD)" numFmtId="0">
      <sharedItems containsSemiMixedTypes="0" containsString="0" containsNumber="1" minValue="2.9990000000000001" maxValue="29.997"/>
    </cacheField>
    <cacheField name="Total (USD)" numFmtId="0">
      <sharedItems containsSemiMixedTypes="0" containsString="0" containsNumber="1" minValue="32.988999999999997" maxValue="329.96699999999998" count="14">
        <n v="109.97800000000001"/>
        <n v="32.988999999999997"/>
        <n v="329.96699999999998"/>
        <n v="87.955999999999989"/>
        <n v="164.989"/>
        <n v="175.97799999999998"/>
        <n v="148.5"/>
        <n v="153.97799999999998"/>
        <n v="98.98899999999999"/>
        <n v="219.989"/>
        <n v="164.94499999999999"/>
        <n v="164.96699999999998"/>
        <n v="142.989"/>
        <n v="131.96699999999998"/>
      </sharedItems>
    </cacheField>
    <cacheField name="Months" numFmtId="0" databaseField="0">
      <fieldGroup base="1">
        <rangePr groupBy="months" startDate="2024-01-01T00:00:00" endDate="2024-01-30T00:00:00"/>
        <groupItems count="14">
          <s v="&lt;01-01-2024"/>
          <s v="Jan"/>
          <s v="Feb"/>
          <s v="Mar"/>
          <s v="Apr"/>
          <s v="May"/>
          <s v="Jun"/>
          <s v="Jul"/>
          <s v="Aug"/>
          <s v="Sep"/>
          <s v="Oct"/>
          <s v="Nov"/>
          <s v="Dec"/>
          <s v="&gt;30-01-2024"/>
        </groupItems>
      </fieldGroup>
    </cacheField>
  </cacheFields>
  <extLst>
    <ext xmlns:x14="http://schemas.microsoft.com/office/spreadsheetml/2009/9/main" uri="{725AE2AE-9491-48be-B2B4-4EB974FC3084}">
      <x14:pivotCacheDefinition pivotCacheId="1273858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x v="0"/>
    <x v="0"/>
    <x v="0"/>
    <x v="0"/>
    <x v="0"/>
    <n v="49.99"/>
    <n v="2"/>
    <x v="0"/>
    <n v="109.97800000000001"/>
    <m/>
  </r>
  <r>
    <x v="1"/>
    <x v="0"/>
    <x v="1"/>
    <x v="1"/>
    <x v="1"/>
    <x v="0"/>
    <n v="29.99"/>
    <n v="1"/>
    <x v="1"/>
    <n v="32.988999999999997"/>
    <m/>
  </r>
  <r>
    <x v="2"/>
    <x v="1"/>
    <x v="2"/>
    <x v="2"/>
    <x v="2"/>
    <x v="0"/>
    <n v="99.99"/>
    <n v="3"/>
    <x v="2"/>
    <n v="329.96699999999998"/>
    <m/>
  </r>
  <r>
    <x v="3"/>
    <x v="1"/>
    <x v="3"/>
    <x v="3"/>
    <x v="0"/>
    <x v="0"/>
    <n v="19.989999999999998"/>
    <n v="4"/>
    <x v="3"/>
    <n v="87.955999999999989"/>
    <m/>
  </r>
  <r>
    <x v="4"/>
    <x v="2"/>
    <x v="4"/>
    <x v="4"/>
    <x v="3"/>
    <x v="0"/>
    <n v="149.99"/>
    <n v="1"/>
    <x v="4"/>
    <n v="164.989"/>
    <m/>
  </r>
  <r>
    <x v="5"/>
    <x v="2"/>
    <x v="5"/>
    <x v="5"/>
    <x v="4"/>
    <x v="0"/>
    <n v="79.989999999999995"/>
    <n v="2"/>
    <x v="5"/>
    <n v="175.97799999999998"/>
    <m/>
  </r>
  <r>
    <x v="6"/>
    <x v="3"/>
    <x v="6"/>
    <x v="6"/>
    <x v="4"/>
    <x v="0"/>
    <n v="45"/>
    <n v="3"/>
    <x v="6"/>
    <n v="148.5"/>
    <m/>
  </r>
  <r>
    <x v="7"/>
    <x v="3"/>
    <x v="7"/>
    <x v="1"/>
    <x v="5"/>
    <x v="0"/>
    <n v="69.989999999999995"/>
    <n v="2"/>
    <x v="7"/>
    <n v="153.97799999999998"/>
    <m/>
  </r>
  <r>
    <x v="8"/>
    <x v="4"/>
    <x v="8"/>
    <x v="7"/>
    <x v="4"/>
    <x v="0"/>
    <n v="89.99"/>
    <n v="1"/>
    <x v="8"/>
    <n v="98.98899999999999"/>
    <m/>
  </r>
  <r>
    <x v="9"/>
    <x v="4"/>
    <x v="9"/>
    <x v="8"/>
    <x v="3"/>
    <x v="0"/>
    <n v="199.99"/>
    <n v="1"/>
    <x v="9"/>
    <n v="219.989"/>
    <m/>
  </r>
  <r>
    <x v="10"/>
    <x v="5"/>
    <x v="10"/>
    <x v="2"/>
    <x v="2"/>
    <x v="0"/>
    <n v="29.99"/>
    <n v="5"/>
    <x v="10"/>
    <n v="164.94499999999999"/>
    <m/>
  </r>
  <r>
    <x v="11"/>
    <x v="5"/>
    <x v="11"/>
    <x v="1"/>
    <x v="3"/>
    <x v="0"/>
    <n v="79.989999999999995"/>
    <n v="2"/>
    <x v="5"/>
    <n v="175.97799999999998"/>
    <m/>
  </r>
  <r>
    <x v="12"/>
    <x v="6"/>
    <x v="12"/>
    <x v="3"/>
    <x v="5"/>
    <x v="0"/>
    <n v="49.99"/>
    <n v="3"/>
    <x v="11"/>
    <n v="164.96699999999998"/>
    <m/>
  </r>
  <r>
    <x v="13"/>
    <x v="6"/>
    <x v="13"/>
    <x v="9"/>
    <x v="6"/>
    <x v="0"/>
    <n v="129.99"/>
    <n v="1"/>
    <x v="12"/>
    <n v="142.989"/>
    <m/>
  </r>
  <r>
    <x v="14"/>
    <x v="7"/>
    <x v="14"/>
    <x v="4"/>
    <x v="7"/>
    <x v="0"/>
    <n v="19.989999999999998"/>
    <n v="4"/>
    <x v="3"/>
    <n v="87.955999999999989"/>
    <m/>
  </r>
  <r>
    <x v="15"/>
    <x v="7"/>
    <x v="15"/>
    <x v="10"/>
    <x v="6"/>
    <x v="0"/>
    <n v="149.99"/>
    <n v="1"/>
    <x v="4"/>
    <n v="164.989"/>
    <m/>
  </r>
  <r>
    <x v="16"/>
    <x v="8"/>
    <x v="16"/>
    <x v="11"/>
    <x v="8"/>
    <x v="0"/>
    <n v="69.989999999999995"/>
    <n v="2"/>
    <x v="7"/>
    <n v="153.97799999999998"/>
    <m/>
  </r>
  <r>
    <x v="17"/>
    <x v="8"/>
    <x v="17"/>
    <x v="12"/>
    <x v="6"/>
    <x v="0"/>
    <n v="39.99"/>
    <n v="3"/>
    <x v="13"/>
    <n v="131.96699999999998"/>
    <m/>
  </r>
  <r>
    <x v="18"/>
    <x v="9"/>
    <x v="18"/>
    <x v="6"/>
    <x v="9"/>
    <x v="0"/>
    <n v="199.99"/>
    <n v="1"/>
    <x v="9"/>
    <n v="219.989"/>
    <m/>
  </r>
  <r>
    <x v="19"/>
    <x v="9"/>
    <x v="19"/>
    <x v="13"/>
    <x v="8"/>
    <x v="0"/>
    <n v="29.99"/>
    <n v="5"/>
    <x v="10"/>
    <n v="164.94499999999999"/>
    <m/>
  </r>
  <r>
    <x v="20"/>
    <x v="10"/>
    <x v="20"/>
    <x v="14"/>
    <x v="8"/>
    <x v="0"/>
    <n v="79.989999999999995"/>
    <n v="2"/>
    <x v="5"/>
    <n v="175.97799999999998"/>
    <m/>
  </r>
  <r>
    <x v="21"/>
    <x v="10"/>
    <x v="21"/>
    <x v="15"/>
    <x v="10"/>
    <x v="0"/>
    <n v="49.99"/>
    <n v="3"/>
    <x v="11"/>
    <n v="164.96699999999998"/>
    <m/>
  </r>
  <r>
    <x v="22"/>
    <x v="11"/>
    <x v="22"/>
    <x v="16"/>
    <x v="11"/>
    <x v="0"/>
    <n v="129.99"/>
    <n v="1"/>
    <x v="12"/>
    <n v="142.989"/>
    <m/>
  </r>
  <r>
    <x v="23"/>
    <x v="11"/>
    <x v="23"/>
    <x v="17"/>
    <x v="11"/>
    <x v="0"/>
    <n v="19.989999999999998"/>
    <n v="4"/>
    <x v="3"/>
    <n v="87.955999999999989"/>
    <m/>
  </r>
  <r>
    <x v="24"/>
    <x v="12"/>
    <x v="4"/>
    <x v="18"/>
    <x v="11"/>
    <x v="0"/>
    <n v="149.99"/>
    <n v="1"/>
    <x v="4"/>
    <n v="164.989"/>
    <m/>
  </r>
  <r>
    <x v="25"/>
    <x v="12"/>
    <x v="24"/>
    <x v="19"/>
    <x v="8"/>
    <x v="0"/>
    <n v="69.989999999999995"/>
    <n v="2"/>
    <x v="7"/>
    <n v="153.97799999999998"/>
    <m/>
  </r>
  <r>
    <x v="26"/>
    <x v="13"/>
    <x v="25"/>
    <x v="5"/>
    <x v="12"/>
    <x v="0"/>
    <n v="39.99"/>
    <n v="3"/>
    <x v="13"/>
    <n v="131.96699999999998"/>
    <m/>
  </r>
  <r>
    <x v="27"/>
    <x v="13"/>
    <x v="26"/>
    <x v="20"/>
    <x v="13"/>
    <x v="0"/>
    <n v="199.99"/>
    <n v="1"/>
    <x v="9"/>
    <n v="219.989"/>
    <m/>
  </r>
  <r>
    <x v="28"/>
    <x v="14"/>
    <x v="27"/>
    <x v="0"/>
    <x v="13"/>
    <x v="0"/>
    <n v="29.99"/>
    <n v="5"/>
    <x v="10"/>
    <n v="164.94499999999999"/>
    <m/>
  </r>
  <r>
    <x v="29"/>
    <x v="14"/>
    <x v="28"/>
    <x v="21"/>
    <x v="13"/>
    <x v="0"/>
    <n v="79.989999999999995"/>
    <n v="2"/>
    <x v="5"/>
    <n v="175.97799999999998"/>
    <m/>
  </r>
  <r>
    <x v="30"/>
    <x v="15"/>
    <x v="29"/>
    <x v="7"/>
    <x v="13"/>
    <x v="0"/>
    <n v="49.99"/>
    <n v="3"/>
    <x v="11"/>
    <n v="164.96699999999998"/>
    <m/>
  </r>
  <r>
    <x v="31"/>
    <x v="15"/>
    <x v="30"/>
    <x v="2"/>
    <x v="11"/>
    <x v="0"/>
    <n v="129.99"/>
    <n v="1"/>
    <x v="12"/>
    <n v="142.989"/>
    <m/>
  </r>
  <r>
    <x v="32"/>
    <x v="16"/>
    <x v="31"/>
    <x v="12"/>
    <x v="13"/>
    <x v="0"/>
    <n v="19.989999999999998"/>
    <n v="4"/>
    <x v="3"/>
    <n v="87.955999999999989"/>
    <m/>
  </r>
  <r>
    <x v="33"/>
    <x v="16"/>
    <x v="32"/>
    <x v="5"/>
    <x v="13"/>
    <x v="0"/>
    <n v="149.99"/>
    <n v="1"/>
    <x v="4"/>
    <n v="164.989"/>
    <m/>
  </r>
  <r>
    <x v="34"/>
    <x v="17"/>
    <x v="33"/>
    <x v="15"/>
    <x v="14"/>
    <x v="0"/>
    <n v="69.989999999999995"/>
    <n v="2"/>
    <x v="7"/>
    <n v="153.97799999999998"/>
    <m/>
  </r>
  <r>
    <x v="35"/>
    <x v="17"/>
    <x v="34"/>
    <x v="22"/>
    <x v="13"/>
    <x v="0"/>
    <n v="39.99"/>
    <n v="3"/>
    <x v="13"/>
    <n v="131.96699999999998"/>
    <m/>
  </r>
  <r>
    <x v="36"/>
    <x v="18"/>
    <x v="35"/>
    <x v="0"/>
    <x v="15"/>
    <x v="0"/>
    <n v="199.99"/>
    <n v="1"/>
    <x v="9"/>
    <n v="219.989"/>
    <m/>
  </r>
  <r>
    <x v="37"/>
    <x v="18"/>
    <x v="36"/>
    <x v="1"/>
    <x v="16"/>
    <x v="0"/>
    <n v="29.99"/>
    <n v="5"/>
    <x v="10"/>
    <n v="164.94499999999999"/>
    <m/>
  </r>
  <r>
    <x v="38"/>
    <x v="19"/>
    <x v="2"/>
    <x v="2"/>
    <x v="17"/>
    <x v="0"/>
    <n v="79.989999999999995"/>
    <n v="2"/>
    <x v="5"/>
    <n v="175.97799999999998"/>
    <m/>
  </r>
  <r>
    <x v="39"/>
    <x v="19"/>
    <x v="23"/>
    <x v="3"/>
    <x v="18"/>
    <x v="0"/>
    <n v="49.99"/>
    <n v="3"/>
    <x v="11"/>
    <n v="164.96699999999998"/>
    <m/>
  </r>
  <r>
    <x v="40"/>
    <x v="20"/>
    <x v="4"/>
    <x v="4"/>
    <x v="19"/>
    <x v="0"/>
    <n v="129.99"/>
    <n v="1"/>
    <x v="12"/>
    <n v="142.989"/>
    <m/>
  </r>
  <r>
    <x v="41"/>
    <x v="20"/>
    <x v="37"/>
    <x v="5"/>
    <x v="14"/>
    <x v="0"/>
    <n v="19.989999999999998"/>
    <n v="4"/>
    <x v="3"/>
    <n v="87.955999999999989"/>
    <m/>
  </r>
  <r>
    <x v="42"/>
    <x v="21"/>
    <x v="38"/>
    <x v="6"/>
    <x v="20"/>
    <x v="0"/>
    <n v="149.99"/>
    <n v="1"/>
    <x v="4"/>
    <n v="164.989"/>
    <m/>
  </r>
  <r>
    <x v="43"/>
    <x v="21"/>
    <x v="3"/>
    <x v="1"/>
    <x v="20"/>
    <x v="0"/>
    <n v="69.989999999999995"/>
    <n v="2"/>
    <x v="7"/>
    <n v="153.97799999999998"/>
    <m/>
  </r>
  <r>
    <x v="44"/>
    <x v="22"/>
    <x v="39"/>
    <x v="7"/>
    <x v="21"/>
    <x v="0"/>
    <n v="39.99"/>
    <n v="3"/>
    <x v="13"/>
    <n v="131.96699999999998"/>
    <m/>
  </r>
  <r>
    <x v="45"/>
    <x v="22"/>
    <x v="19"/>
    <x v="8"/>
    <x v="19"/>
    <x v="0"/>
    <n v="199.99"/>
    <n v="1"/>
    <x v="9"/>
    <n v="219.989"/>
    <m/>
  </r>
  <r>
    <x v="46"/>
    <x v="23"/>
    <x v="40"/>
    <x v="2"/>
    <x v="20"/>
    <x v="0"/>
    <n v="29.99"/>
    <n v="5"/>
    <x v="10"/>
    <n v="164.94499999999999"/>
    <m/>
  </r>
  <r>
    <x v="47"/>
    <x v="23"/>
    <x v="41"/>
    <x v="1"/>
    <x v="19"/>
    <x v="0"/>
    <n v="79.989999999999995"/>
    <n v="2"/>
    <x v="5"/>
    <n v="175.97799999999998"/>
    <m/>
  </r>
  <r>
    <x v="48"/>
    <x v="24"/>
    <x v="42"/>
    <x v="3"/>
    <x v="22"/>
    <x v="0"/>
    <n v="49.99"/>
    <n v="3"/>
    <x v="11"/>
    <n v="164.96699999999998"/>
    <m/>
  </r>
  <r>
    <x v="49"/>
    <x v="24"/>
    <x v="43"/>
    <x v="9"/>
    <x v="21"/>
    <x v="0"/>
    <n v="129.99"/>
    <n v="1"/>
    <x v="12"/>
    <n v="142.989"/>
    <m/>
  </r>
  <r>
    <x v="50"/>
    <x v="25"/>
    <x v="44"/>
    <x v="4"/>
    <x v="23"/>
    <x v="0"/>
    <n v="19.989999999999998"/>
    <n v="4"/>
    <x v="3"/>
    <n v="87.955999999999989"/>
    <m/>
  </r>
  <r>
    <x v="51"/>
    <x v="25"/>
    <x v="45"/>
    <x v="10"/>
    <x v="24"/>
    <x v="0"/>
    <n v="149.99"/>
    <n v="1"/>
    <x v="4"/>
    <n v="164.989"/>
    <m/>
  </r>
  <r>
    <x v="52"/>
    <x v="26"/>
    <x v="46"/>
    <x v="11"/>
    <x v="25"/>
    <x v="0"/>
    <n v="69.989999999999995"/>
    <n v="2"/>
    <x v="7"/>
    <n v="153.97799999999998"/>
    <m/>
  </r>
  <r>
    <x v="53"/>
    <x v="26"/>
    <x v="47"/>
    <x v="12"/>
    <x v="25"/>
    <x v="0"/>
    <n v="39.99"/>
    <n v="3"/>
    <x v="13"/>
    <n v="131.96699999999998"/>
    <m/>
  </r>
  <r>
    <x v="54"/>
    <x v="27"/>
    <x v="48"/>
    <x v="6"/>
    <x v="23"/>
    <x v="0"/>
    <n v="199.99"/>
    <n v="1"/>
    <x v="9"/>
    <n v="219.989"/>
    <m/>
  </r>
  <r>
    <x v="55"/>
    <x v="27"/>
    <x v="49"/>
    <x v="13"/>
    <x v="23"/>
    <x v="0"/>
    <n v="29.99"/>
    <n v="5"/>
    <x v="10"/>
    <n v="164.94499999999999"/>
    <m/>
  </r>
  <r>
    <x v="56"/>
    <x v="28"/>
    <x v="50"/>
    <x v="14"/>
    <x v="22"/>
    <x v="0"/>
    <n v="79.989999999999995"/>
    <n v="2"/>
    <x v="5"/>
    <n v="175.97799999999998"/>
    <m/>
  </r>
  <r>
    <x v="57"/>
    <x v="28"/>
    <x v="37"/>
    <x v="15"/>
    <x v="25"/>
    <x v="0"/>
    <n v="49.99"/>
    <n v="3"/>
    <x v="11"/>
    <n v="164.96699999999998"/>
    <m/>
  </r>
  <r>
    <x v="58"/>
    <x v="29"/>
    <x v="38"/>
    <x v="16"/>
    <x v="25"/>
    <x v="0"/>
    <n v="129.99"/>
    <n v="1"/>
    <x v="12"/>
    <n v="142.989"/>
    <m/>
  </r>
  <r>
    <x v="59"/>
    <x v="29"/>
    <x v="3"/>
    <x v="17"/>
    <x v="26"/>
    <x v="1"/>
    <n v="19.989999999999998"/>
    <n v="4"/>
    <x v="3"/>
    <n v="87.955999999999989"/>
    <m/>
  </r>
  <r>
    <x v="60"/>
    <x v="30"/>
    <x v="39"/>
    <x v="18"/>
    <x v="27"/>
    <x v="1"/>
    <n v="149.99"/>
    <n v="1"/>
    <x v="4"/>
    <n v="164.989"/>
    <m/>
  </r>
  <r>
    <x v="61"/>
    <x v="30"/>
    <x v="19"/>
    <x v="19"/>
    <x v="28"/>
    <x v="1"/>
    <n v="69.989999999999995"/>
    <n v="2"/>
    <x v="7"/>
    <n v="153.97799999999998"/>
    <m/>
  </r>
  <r>
    <x v="62"/>
    <x v="31"/>
    <x v="40"/>
    <x v="5"/>
    <x v="27"/>
    <x v="1"/>
    <n v="39.99"/>
    <n v="3"/>
    <x v="13"/>
    <n v="131.96699999999998"/>
    <m/>
  </r>
  <r>
    <x v="63"/>
    <x v="31"/>
    <x v="41"/>
    <x v="20"/>
    <x v="29"/>
    <x v="1"/>
    <n v="199.99"/>
    <n v="1"/>
    <x v="9"/>
    <n v="219.989"/>
    <m/>
  </r>
  <r>
    <x v="64"/>
    <x v="31"/>
    <x v="42"/>
    <x v="0"/>
    <x v="30"/>
    <x v="1"/>
    <n v="29.99"/>
    <n v="5"/>
    <x v="10"/>
    <n v="164.94499999999999"/>
    <m/>
  </r>
  <r>
    <x v="65"/>
    <x v="32"/>
    <x v="43"/>
    <x v="21"/>
    <x v="31"/>
    <x v="1"/>
    <n v="79.989999999999995"/>
    <n v="2"/>
    <x v="5"/>
    <n v="175.97799999999998"/>
    <m/>
  </r>
  <r>
    <x v="66"/>
    <x v="33"/>
    <x v="44"/>
    <x v="7"/>
    <x v="31"/>
    <x v="1"/>
    <n v="49.99"/>
    <n v="3"/>
    <x v="11"/>
    <n v="164.96699999999998"/>
    <m/>
  </r>
  <r>
    <x v="67"/>
    <x v="34"/>
    <x v="45"/>
    <x v="2"/>
    <x v="29"/>
    <x v="1"/>
    <n v="129.99"/>
    <n v="1"/>
    <x v="12"/>
    <n v="142.989"/>
    <m/>
  </r>
  <r>
    <x v="68"/>
    <x v="34"/>
    <x v="46"/>
    <x v="12"/>
    <x v="32"/>
    <x v="1"/>
    <n v="19.989999999999998"/>
    <n v="4"/>
    <x v="3"/>
    <n v="87.955999999999989"/>
    <m/>
  </r>
  <r>
    <x v="69"/>
    <x v="34"/>
    <x v="47"/>
    <x v="5"/>
    <x v="33"/>
    <x v="1"/>
    <n v="149.99"/>
    <n v="1"/>
    <x v="4"/>
    <n v="164.98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1001"/>
    <x v="0"/>
    <x v="0"/>
    <n v="22"/>
    <d v="2024-01-03T00:00:00"/>
    <s v="Jan"/>
    <n v="49.99"/>
    <n v="2"/>
    <n v="9.9980000000000011"/>
    <x v="0"/>
  </r>
  <r>
    <s v="1002"/>
    <x v="0"/>
    <x v="1"/>
    <n v="29"/>
    <d v="2024-01-04T00:00:00"/>
    <s v="Jan"/>
    <n v="29.99"/>
    <n v="1"/>
    <n v="2.9990000000000001"/>
    <x v="1"/>
  </r>
  <r>
    <s v="1003"/>
    <x v="1"/>
    <x v="2"/>
    <n v="28"/>
    <d v="2024-01-07T00:00:00"/>
    <s v="Jan"/>
    <n v="99.99"/>
    <n v="3"/>
    <n v="29.997"/>
    <x v="2"/>
  </r>
  <r>
    <s v="1004"/>
    <x v="1"/>
    <x v="3"/>
    <n v="30"/>
    <d v="2024-01-03T00:00:00"/>
    <s v="Jan"/>
    <n v="19.989999999999998"/>
    <n v="4"/>
    <n v="7.9959999999999996"/>
    <x v="3"/>
  </r>
  <r>
    <s v="1005"/>
    <x v="2"/>
    <x v="4"/>
    <n v="32"/>
    <d v="2024-01-08T00:00:00"/>
    <s v="Jan"/>
    <n v="149.99"/>
    <n v="1"/>
    <n v="14.999000000000002"/>
    <x v="4"/>
  </r>
  <r>
    <s v="1006"/>
    <x v="2"/>
    <x v="5"/>
    <n v="40"/>
    <d v="2024-01-06T00:00:00"/>
    <s v="Jan"/>
    <n v="79.989999999999995"/>
    <n v="2"/>
    <n v="15.997999999999999"/>
    <x v="5"/>
  </r>
  <r>
    <s v="1007"/>
    <x v="3"/>
    <x v="6"/>
    <n v="48"/>
    <d v="2024-01-06T00:00:00"/>
    <s v="Jan"/>
    <n v="45"/>
    <n v="3"/>
    <n v="13.5"/>
    <x v="6"/>
  </r>
  <r>
    <s v="1008"/>
    <x v="3"/>
    <x v="7"/>
    <n v="29"/>
    <d v="2024-01-09T00:00:00"/>
    <s v="Jan"/>
    <n v="69.989999999999995"/>
    <n v="2"/>
    <n v="13.997999999999999"/>
    <x v="7"/>
  </r>
  <r>
    <s v="1009"/>
    <x v="4"/>
    <x v="8"/>
    <n v="26"/>
    <d v="2024-01-06T00:00:00"/>
    <s v="Jan"/>
    <n v="89.99"/>
    <n v="1"/>
    <n v="8.9990000000000006"/>
    <x v="8"/>
  </r>
  <r>
    <s v="1010"/>
    <x v="4"/>
    <x v="9"/>
    <n v="27"/>
    <d v="2024-01-08T00:00:00"/>
    <s v="Jan"/>
    <n v="199.99"/>
    <n v="1"/>
    <n v="19.999000000000002"/>
    <x v="9"/>
  </r>
  <r>
    <s v="1011"/>
    <x v="5"/>
    <x v="10"/>
    <n v="28"/>
    <d v="2024-01-07T00:00:00"/>
    <s v="Jan"/>
    <n v="29.99"/>
    <n v="5"/>
    <n v="14.994999999999999"/>
    <x v="10"/>
  </r>
  <r>
    <s v="1012"/>
    <x v="5"/>
    <x v="11"/>
    <n v="29"/>
    <d v="2024-01-08T00:00:00"/>
    <s v="Jan"/>
    <n v="79.989999999999995"/>
    <n v="2"/>
    <n v="15.997999999999999"/>
    <x v="5"/>
  </r>
  <r>
    <s v="1013"/>
    <x v="6"/>
    <x v="12"/>
    <n v="30"/>
    <d v="2024-01-09T00:00:00"/>
    <s v="Jan"/>
    <n v="49.99"/>
    <n v="3"/>
    <n v="14.997"/>
    <x v="11"/>
  </r>
  <r>
    <s v="1014"/>
    <x v="6"/>
    <x v="13"/>
    <n v="31"/>
    <d v="2024-01-12T00:00:00"/>
    <s v="Jan"/>
    <n v="129.99"/>
    <n v="1"/>
    <n v="12.999000000000002"/>
    <x v="12"/>
  </r>
  <r>
    <s v="1015"/>
    <x v="7"/>
    <x v="14"/>
    <n v="32"/>
    <d v="2024-01-13T00:00:00"/>
    <s v="Jan"/>
    <n v="19.989999999999998"/>
    <n v="4"/>
    <n v="7.9959999999999996"/>
    <x v="3"/>
  </r>
  <r>
    <s v="1016"/>
    <x v="7"/>
    <x v="15"/>
    <n v="33"/>
    <d v="2024-01-12T00:00:00"/>
    <s v="Jan"/>
    <n v="149.99"/>
    <n v="1"/>
    <n v="14.999000000000002"/>
    <x v="4"/>
  </r>
  <r>
    <s v="1017"/>
    <x v="8"/>
    <x v="16"/>
    <n v="34"/>
    <d v="2024-01-14T00:00:00"/>
    <s v="Jan"/>
    <n v="69.989999999999995"/>
    <n v="2"/>
    <n v="13.997999999999999"/>
    <x v="7"/>
  </r>
  <r>
    <s v="1018"/>
    <x v="8"/>
    <x v="17"/>
    <n v="35"/>
    <d v="2024-01-12T00:00:00"/>
    <s v="Jan"/>
    <n v="39.99"/>
    <n v="3"/>
    <n v="11.997"/>
    <x v="13"/>
  </r>
  <r>
    <s v="1019"/>
    <x v="9"/>
    <x v="18"/>
    <n v="48"/>
    <d v="2024-01-11T00:00:00"/>
    <s v="Jan"/>
    <n v="199.99"/>
    <n v="1"/>
    <n v="19.999000000000002"/>
    <x v="9"/>
  </r>
  <r>
    <s v="1020"/>
    <x v="9"/>
    <x v="19"/>
    <n v="47"/>
    <d v="2024-01-14T00:00:00"/>
    <s v="Jan"/>
    <n v="29.99"/>
    <n v="5"/>
    <n v="14.994999999999999"/>
    <x v="10"/>
  </r>
  <r>
    <s v="1021"/>
    <x v="10"/>
    <x v="20"/>
    <n v="46"/>
    <d v="2024-01-14T00:00:00"/>
    <s v="Jan"/>
    <n v="79.989999999999995"/>
    <n v="2"/>
    <n v="15.997999999999999"/>
    <x v="5"/>
  </r>
  <r>
    <s v="1022"/>
    <x v="10"/>
    <x v="21"/>
    <n v="45"/>
    <d v="2024-01-15T00:00:00"/>
    <s v="Jan"/>
    <n v="49.99"/>
    <n v="3"/>
    <n v="14.997"/>
    <x v="11"/>
  </r>
  <r>
    <s v="1023"/>
    <x v="11"/>
    <x v="22"/>
    <n v="44"/>
    <d v="2024-01-17T00:00:00"/>
    <s v="Jan"/>
    <n v="129.99"/>
    <n v="1"/>
    <n v="12.999000000000002"/>
    <x v="12"/>
  </r>
  <r>
    <s v="1024"/>
    <x v="11"/>
    <x v="23"/>
    <n v="43"/>
    <d v="2024-01-17T00:00:00"/>
    <s v="Jan"/>
    <n v="19.989999999999998"/>
    <n v="4"/>
    <n v="7.9959999999999996"/>
    <x v="3"/>
  </r>
  <r>
    <s v="1026"/>
    <x v="12"/>
    <x v="24"/>
    <n v="41"/>
    <d v="2024-01-14T00:00:00"/>
    <s v="Jan"/>
    <n v="69.989999999999995"/>
    <n v="2"/>
    <n v="13.997999999999999"/>
    <x v="7"/>
  </r>
  <r>
    <s v="1027"/>
    <x v="13"/>
    <x v="25"/>
    <n v="40"/>
    <d v="2024-01-18T00:00:00"/>
    <s v="Jan"/>
    <n v="39.99"/>
    <n v="3"/>
    <n v="11.997"/>
    <x v="13"/>
  </r>
  <r>
    <s v="1028"/>
    <x v="13"/>
    <x v="26"/>
    <n v="20"/>
    <d v="2024-01-19T00:00:00"/>
    <s v="Jan"/>
    <n v="199.99"/>
    <n v="1"/>
    <n v="19.999000000000002"/>
    <x v="9"/>
  </r>
  <r>
    <s v="1029"/>
    <x v="14"/>
    <x v="27"/>
    <n v="22"/>
    <d v="2024-01-19T00:00:00"/>
    <s v="Jan"/>
    <n v="29.99"/>
    <n v="5"/>
    <n v="14.994999999999999"/>
    <x v="10"/>
  </r>
  <r>
    <s v="1030"/>
    <x v="14"/>
    <x v="28"/>
    <n v="24"/>
    <d v="2024-01-19T00:00:00"/>
    <s v="Jan"/>
    <n v="79.989999999999995"/>
    <n v="2"/>
    <n v="15.997999999999999"/>
    <x v="5"/>
  </r>
  <r>
    <s v="1031"/>
    <x v="15"/>
    <x v="29"/>
    <n v="26"/>
    <d v="2024-01-19T00:00:00"/>
    <s v="Jan"/>
    <n v="49.99"/>
    <n v="3"/>
    <n v="14.997"/>
    <x v="11"/>
  </r>
  <r>
    <s v="1032"/>
    <x v="15"/>
    <x v="30"/>
    <n v="28"/>
    <d v="2024-01-17T00:00:00"/>
    <s v="Jan"/>
    <n v="129.99"/>
    <n v="1"/>
    <n v="12.999000000000002"/>
    <x v="12"/>
  </r>
  <r>
    <s v="1033"/>
    <x v="16"/>
    <x v="31"/>
    <n v="35"/>
    <d v="2024-01-19T00:00:00"/>
    <s v="Jan"/>
    <n v="19.989999999999998"/>
    <n v="4"/>
    <n v="7.9959999999999996"/>
    <x v="3"/>
  </r>
  <r>
    <s v="1034"/>
    <x v="16"/>
    <x v="32"/>
    <n v="40"/>
    <d v="2024-01-19T00:00:00"/>
    <s v="Jan"/>
    <n v="149.99"/>
    <n v="1"/>
    <n v="14.999000000000002"/>
    <x v="4"/>
  </r>
  <r>
    <s v="1035"/>
    <x v="17"/>
    <x v="33"/>
    <n v="45"/>
    <d v="2024-01-23T00:00:00"/>
    <s v="Jan"/>
    <n v="69.989999999999995"/>
    <n v="2"/>
    <n v="13.997999999999999"/>
    <x v="7"/>
  </r>
  <r>
    <s v="1036"/>
    <x v="17"/>
    <x v="34"/>
    <n v="50"/>
    <d v="2024-01-19T00:00:00"/>
    <s v="Jan"/>
    <n v="39.99"/>
    <n v="3"/>
    <n v="11.997"/>
    <x v="13"/>
  </r>
  <r>
    <s v="1037"/>
    <x v="18"/>
    <x v="35"/>
    <n v="22"/>
    <d v="2024-01-20T00:00:00"/>
    <s v="Jan"/>
    <n v="199.99"/>
    <n v="1"/>
    <n v="19.999000000000002"/>
    <x v="9"/>
  </r>
  <r>
    <s v="1038"/>
    <x v="18"/>
    <x v="36"/>
    <n v="29"/>
    <d v="2024-01-22T00:00:00"/>
    <s v="Jan"/>
    <n v="29.99"/>
    <n v="5"/>
    <n v="14.994999999999999"/>
    <x v="10"/>
  </r>
  <r>
    <s v="1042"/>
    <x v="19"/>
    <x v="37"/>
    <n v="40"/>
    <d v="2024-01-23T00:00:00"/>
    <s v="Jan"/>
    <n v="19.989999999999998"/>
    <n v="4"/>
    <n v="7.9959999999999996"/>
    <x v="3"/>
  </r>
  <r>
    <s v="1043"/>
    <x v="20"/>
    <x v="38"/>
    <n v="48"/>
    <d v="2024-01-25T00:00:00"/>
    <s v="Jan"/>
    <n v="149.99"/>
    <n v="1"/>
    <n v="14.999000000000002"/>
    <x v="4"/>
  </r>
  <r>
    <s v="1045"/>
    <x v="21"/>
    <x v="39"/>
    <n v="26"/>
    <d v="2024-01-27T00:00:00"/>
    <s v="Jan"/>
    <n v="39.99"/>
    <n v="3"/>
    <n v="11.997"/>
    <x v="13"/>
  </r>
  <r>
    <s v="1047"/>
    <x v="22"/>
    <x v="40"/>
    <n v="28"/>
    <d v="2024-01-25T00:00:00"/>
    <s v="Jan"/>
    <n v="29.99"/>
    <n v="5"/>
    <n v="14.994999999999999"/>
    <x v="10"/>
  </r>
  <r>
    <s v="1048"/>
    <x v="22"/>
    <x v="41"/>
    <n v="29"/>
    <d v="2024-01-26T00:00:00"/>
    <s v="Jan"/>
    <n v="79.989999999999995"/>
    <n v="2"/>
    <n v="15.997999999999999"/>
    <x v="5"/>
  </r>
  <r>
    <s v="1049"/>
    <x v="23"/>
    <x v="42"/>
    <n v="30"/>
    <d v="2024-01-30T00:00:00"/>
    <s v="Jan"/>
    <n v="49.99"/>
    <n v="3"/>
    <n v="14.997"/>
    <x v="11"/>
  </r>
  <r>
    <s v="1050"/>
    <x v="23"/>
    <x v="43"/>
    <n v="31"/>
    <d v="2024-01-27T00:00:00"/>
    <s v="Jan"/>
    <n v="129.99"/>
    <n v="1"/>
    <n v="12.999000000000002"/>
    <x v="12"/>
  </r>
  <r>
    <s v="1051"/>
    <x v="24"/>
    <x v="44"/>
    <n v="32"/>
    <d v="2024-01-29T00:00:00"/>
    <s v="Jan"/>
    <n v="19.989999999999998"/>
    <n v="4"/>
    <n v="7.9959999999999996"/>
    <x v="3"/>
  </r>
  <r>
    <s v="1052"/>
    <x v="24"/>
    <x v="45"/>
    <n v="33"/>
    <d v="2024-01-28T00:00:00"/>
    <s v="Jan"/>
    <n v="149.99"/>
    <n v="1"/>
    <n v="14.999000000000002"/>
    <x v="4"/>
  </r>
  <r>
    <s v="1053"/>
    <x v="25"/>
    <x v="46"/>
    <n v="34"/>
    <d v="2024-01-31T00:00:00"/>
    <s v="Jan"/>
    <n v="69.989999999999995"/>
    <n v="2"/>
    <n v="13.997999999999999"/>
    <x v="7"/>
  </r>
  <r>
    <s v="1054"/>
    <x v="25"/>
    <x v="47"/>
    <n v="35"/>
    <d v="2024-01-31T00:00:00"/>
    <s v="Jan"/>
    <n v="39.99"/>
    <n v="3"/>
    <n v="11.997"/>
    <x v="13"/>
  </r>
  <r>
    <s v="1055"/>
    <x v="26"/>
    <x v="48"/>
    <n v="48"/>
    <d v="2024-01-29T00:00:00"/>
    <s v="Jan"/>
    <n v="199.99"/>
    <n v="1"/>
    <n v="19.999000000000002"/>
    <x v="9"/>
  </r>
  <r>
    <s v="1056"/>
    <x v="26"/>
    <x v="49"/>
    <n v="47"/>
    <d v="2024-01-29T00:00:00"/>
    <s v="Jan"/>
    <n v="29.99"/>
    <n v="5"/>
    <n v="14.994999999999999"/>
    <x v="10"/>
  </r>
  <r>
    <s v="1057"/>
    <x v="27"/>
    <x v="50"/>
    <n v="46"/>
    <d v="2024-01-30T00:00:00"/>
    <s v="Jan"/>
    <n v="79.989999999999995"/>
    <n v="2"/>
    <n v="15.997999999999999"/>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13">
  <location ref="A3:B54" firstHeaderRow="1" firstDataRow="1" firstDataCol="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2">
        <item x="15"/>
        <item x="21"/>
        <item x="22"/>
        <item x="8"/>
        <item x="46"/>
        <item x="35"/>
        <item x="39"/>
        <item x="6"/>
        <item x="18"/>
        <item x="27"/>
        <item x="31"/>
        <item x="50"/>
        <item x="42"/>
        <item x="4"/>
        <item x="3"/>
        <item x="26"/>
        <item x="45"/>
        <item x="34"/>
        <item x="16"/>
        <item x="1"/>
        <item x="19"/>
        <item x="47"/>
        <item x="28"/>
        <item x="36"/>
        <item x="13"/>
        <item x="30"/>
        <item x="23"/>
        <item x="49"/>
        <item x="41"/>
        <item x="0"/>
        <item x="9"/>
        <item x="17"/>
        <item x="5"/>
        <item x="38"/>
        <item x="33"/>
        <item x="25"/>
        <item x="44"/>
        <item x="14"/>
        <item x="11"/>
        <item x="48"/>
        <item x="20"/>
        <item x="2"/>
        <item x="40"/>
        <item x="29"/>
        <item x="12"/>
        <item x="7"/>
        <item x="32"/>
        <item x="43"/>
        <item x="37"/>
        <item x="24"/>
        <item x="10"/>
        <item t="default"/>
      </items>
    </pivotField>
    <pivotField showAll="0"/>
    <pivotField numFmtId="14" showAll="0"/>
    <pivotField showAll="0"/>
    <pivotField showAll="0"/>
    <pivotField showAll="0"/>
    <pivotField showAll="0"/>
    <pivotField dataField="1" showAll="0">
      <items count="15">
        <item x="1"/>
        <item x="3"/>
        <item x="8"/>
        <item x="0"/>
        <item x="13"/>
        <item x="12"/>
        <item x="6"/>
        <item x="7"/>
        <item x="10"/>
        <item x="11"/>
        <item x="4"/>
        <item x="5"/>
        <item x="9"/>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Items count="1">
    <i/>
  </colItems>
  <dataFields count="1">
    <dataField name="Sum of Total (USD)" fld="9" baseField="0" baseItem="0"/>
  </dataFields>
  <formats count="2">
    <format dxfId="33">
      <pivotArea outline="0" collapsedLevelsAreSubtotals="1" fieldPosition="0"/>
    </format>
    <format dxfId="32">
      <pivotArea dataOnly="0" labelOnly="1" outline="0" axis="axisValues" fieldPosition="0"/>
    </format>
  </formats>
  <chartFormats count="2">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12">
  <location ref="A3:D5" firstHeaderRow="0" firstDataRow="1" firstDataCol="1"/>
  <pivotFields count="15">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showAll="0"/>
    <pivotField showAll="0">
      <items count="5">
        <item x="0"/>
        <item x="1"/>
        <item x="2"/>
        <item x="3"/>
        <item t="default"/>
      </items>
    </pivotField>
    <pivotField numFmtId="14" showAll="0">
      <items count="35">
        <item x="0"/>
        <item x="1"/>
        <item x="4"/>
        <item x="2"/>
        <item x="3"/>
        <item x="5"/>
        <item x="9"/>
        <item x="6"/>
        <item x="7"/>
        <item x="8"/>
        <item x="10"/>
        <item x="11"/>
        <item x="12"/>
        <item x="13"/>
        <item x="15"/>
        <item x="18"/>
        <item x="16"/>
        <item x="14"/>
        <item x="17"/>
        <item x="20"/>
        <item x="19"/>
        <item x="21"/>
        <item x="24"/>
        <item x="23"/>
        <item x="22"/>
        <item x="25"/>
        <item x="26"/>
        <item x="27"/>
        <item x="30"/>
        <item x="28"/>
        <item x="29"/>
        <item x="31"/>
        <item x="33"/>
        <item x="32"/>
        <item t="default"/>
      </items>
    </pivotField>
    <pivotField showAll="0">
      <items count="3">
        <item x="0"/>
        <item x="1"/>
        <item t="default"/>
      </items>
    </pivotField>
    <pivotField dataField="1" showAll="0"/>
    <pivotField showAll="0"/>
    <pivotField dataField="1" showAll="0">
      <items count="15">
        <item x="1"/>
        <item x="3"/>
        <item x="8"/>
        <item x="0"/>
        <item x="13"/>
        <item x="12"/>
        <item x="6"/>
        <item x="7"/>
        <item x="10"/>
        <item x="11"/>
        <item x="4"/>
        <item x="5"/>
        <item x="9"/>
        <item x="2"/>
        <item t="default"/>
      </items>
    </pivotField>
    <pivotField dataField="1" showAll="0"/>
    <pivotField showAll="0"/>
    <pivotField dragToRow="0" dragToCol="0" dragToPage="0" showAll="0" defaultSubtotal="0"/>
    <pivotField axis="axisRow" showAll="0" defaultSubtotal="0">
      <items count="14">
        <item x="0"/>
        <item x="1"/>
        <item x="2"/>
        <item x="3"/>
        <item x="4"/>
        <item x="5"/>
        <item x="6"/>
        <item x="7"/>
        <item x="8"/>
        <item x="9"/>
        <item x="10"/>
        <item x="11"/>
        <item x="12"/>
        <item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2">
    <i>
      <x v="1"/>
    </i>
    <i>
      <x v="2"/>
    </i>
  </rowItems>
  <colFields count="1">
    <field x="-2"/>
  </colFields>
  <colItems count="3">
    <i>
      <x/>
    </i>
    <i i="1">
      <x v="1"/>
    </i>
    <i i="2">
      <x v="2"/>
    </i>
  </colItems>
  <dataFields count="3">
    <dataField name="Sum of Retail Price (USD)" fld="6" baseField="0" baseItem="0" numFmtId="164"/>
    <dataField name="Sum of Tax (USD)" fld="8" baseField="0" baseItem="0" numFmtId="164"/>
    <dataField name="Sum of Total (USD)" fld="9" baseField="0" baseItem="0" numFmtId="164"/>
  </dataFields>
  <formats count="5">
    <format dxfId="31">
      <pivotArea outline="0" collapsedLevelsAreSubtotals="1" fieldPosition="0">
        <references count="1">
          <reference field="4294967294" count="1" selected="0">
            <x v="0"/>
          </reference>
        </references>
      </pivotArea>
    </format>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2"/>
          </reference>
        </references>
      </pivotArea>
    </format>
    <format dxfId="28">
      <pivotArea outline="0" collapsedLevelsAreSubtotals="1" fieldPosition="0"/>
    </format>
    <format dxfId="27">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11">
  <location ref="A3:B5" firstHeaderRow="1" firstDataRow="1" firstDataCol="1"/>
  <pivotFields count="15">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showAll="0"/>
    <pivotField axis="axisRow" showAll="0">
      <items count="5">
        <item x="0"/>
        <item x="1"/>
        <item x="2"/>
        <item x="3"/>
        <item t="default"/>
      </items>
    </pivotField>
    <pivotField numFmtId="14" showAll="0">
      <items count="35">
        <item x="0"/>
        <item x="1"/>
        <item x="4"/>
        <item x="2"/>
        <item x="3"/>
        <item x="5"/>
        <item x="9"/>
        <item x="6"/>
        <item x="7"/>
        <item x="8"/>
        <item x="10"/>
        <item x="11"/>
        <item x="12"/>
        <item x="13"/>
        <item x="15"/>
        <item x="18"/>
        <item x="16"/>
        <item x="14"/>
        <item x="17"/>
        <item x="20"/>
        <item x="19"/>
        <item x="21"/>
        <item x="24"/>
        <item x="23"/>
        <item x="22"/>
        <item x="25"/>
        <item x="26"/>
        <item x="27"/>
        <item x="30"/>
        <item x="28"/>
        <item x="29"/>
        <item x="31"/>
        <item x="33"/>
        <item x="32"/>
        <item t="default"/>
      </items>
    </pivotField>
    <pivotField showAll="0">
      <items count="3">
        <item x="0"/>
        <item x="1"/>
        <item t="default"/>
      </items>
    </pivotField>
    <pivotField showAll="0"/>
    <pivotField showAll="0"/>
    <pivotField showAll="0"/>
    <pivotField dataField="1" showAll="0"/>
    <pivotField showAll="0"/>
    <pivotField dragToRow="0" dragToCol="0" dragToPage="0" showAll="0" defaultSubtotal="0"/>
    <pivotField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1"/>
    </i>
    <i>
      <x v="2"/>
    </i>
  </rowItems>
  <colItems count="1">
    <i/>
  </colItems>
  <dataFields count="1">
    <dataField name="Sum of Total (USD)" fld="9" baseField="0" baseItem="0" numFmtId="165"/>
  </dataFields>
  <formats count="2">
    <format dxfId="26">
      <pivotArea outline="0" collapsedLevelsAreSubtotals="1" fieldPosition="0"/>
    </format>
    <format dxfId="25">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1"/>
          </reference>
        </references>
      </pivotArea>
    </chartFormat>
    <chartFormat chart="8" format="14">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7">
  <location ref="A3:B14" firstHeaderRow="1" firstDataRow="1" firstDataCol="1"/>
  <pivotFields count="15">
    <pivotField showAll="0"/>
    <pivotField numFmtId="14" showAll="0"/>
    <pivotField axis="axisRow" showAll="0" measureFilter="1" sortType="descending">
      <items count="52">
        <item x="15"/>
        <item x="21"/>
        <item x="22"/>
        <item x="8"/>
        <item x="46"/>
        <item x="35"/>
        <item x="39"/>
        <item x="6"/>
        <item x="18"/>
        <item x="27"/>
        <item x="31"/>
        <item x="50"/>
        <item x="42"/>
        <item x="4"/>
        <item x="3"/>
        <item x="26"/>
        <item x="45"/>
        <item x="34"/>
        <item x="16"/>
        <item x="1"/>
        <item x="19"/>
        <item x="47"/>
        <item x="28"/>
        <item x="36"/>
        <item x="13"/>
        <item x="30"/>
        <item x="23"/>
        <item x="49"/>
        <item x="41"/>
        <item x="0"/>
        <item x="9"/>
        <item x="17"/>
        <item x="5"/>
        <item x="38"/>
        <item x="33"/>
        <item x="25"/>
        <item x="44"/>
        <item x="14"/>
        <item x="11"/>
        <item x="48"/>
        <item x="20"/>
        <item x="2"/>
        <item x="40"/>
        <item x="29"/>
        <item x="12"/>
        <item x="7"/>
        <item x="32"/>
        <item x="43"/>
        <item x="37"/>
        <item x="24"/>
        <item x="10"/>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numFmtId="14" showAll="0">
      <items count="35">
        <item x="0"/>
        <item x="1"/>
        <item x="4"/>
        <item x="2"/>
        <item x="3"/>
        <item x="5"/>
        <item x="9"/>
        <item x="6"/>
        <item x="7"/>
        <item x="8"/>
        <item x="10"/>
        <item x="11"/>
        <item x="12"/>
        <item x="13"/>
        <item x="15"/>
        <item x="18"/>
        <item x="16"/>
        <item x="14"/>
        <item x="17"/>
        <item x="20"/>
        <item x="19"/>
        <item x="21"/>
        <item x="24"/>
        <item x="23"/>
        <item x="22"/>
        <item x="25"/>
        <item x="26"/>
        <item x="27"/>
        <item x="30"/>
        <item x="28"/>
        <item x="29"/>
        <item x="31"/>
        <item x="33"/>
        <item x="32"/>
        <item t="default"/>
      </items>
    </pivotField>
    <pivotField showAll="0">
      <items count="3">
        <item x="0"/>
        <item x="1"/>
        <item t="default"/>
      </items>
    </pivotField>
    <pivotField showAll="0"/>
    <pivotField showAll="0"/>
    <pivotField showAll="0"/>
    <pivotField dataField="1" showAll="0"/>
    <pivotField showAll="0"/>
    <pivotField dragToRow="0" dragToCol="0" dragToPage="0" showAll="0" defaultSubtotal="0"/>
    <pivotField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20"/>
    </i>
    <i>
      <x v="41"/>
    </i>
    <i>
      <x v="13"/>
    </i>
    <i>
      <x v="28"/>
    </i>
    <i>
      <x v="12"/>
    </i>
    <i>
      <x v="14"/>
    </i>
    <i>
      <x v="47"/>
    </i>
    <i>
      <x v="16"/>
    </i>
    <i>
      <x v="33"/>
    </i>
    <i>
      <x v="21"/>
    </i>
    <i>
      <x v="6"/>
    </i>
  </rowItems>
  <colItems count="1">
    <i/>
  </colItems>
  <dataFields count="1">
    <dataField name="Sum of Total (USD)" fld="9" baseField="0" baseItem="0" numFmtId="165"/>
  </dataFields>
  <formats count="2">
    <format dxfId="24">
      <pivotArea outline="0" collapsedLevelsAreSubtotals="1" fieldPosition="0"/>
    </format>
    <format dxfId="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6" indent="0" outline="1" outlineData="1" multipleFieldFilters="0" chartFormat="7">
  <location ref="A3:B5" firstHeaderRow="1" firstDataRow="1" firstDataCol="1" rowPageCount="1" colPageCount="1"/>
  <pivotFields count="15">
    <pivotField showAll="0"/>
    <pivotField numFmtId="14" showAll="0"/>
    <pivotField showAll="0">
      <items count="52">
        <item x="15"/>
        <item x="21"/>
        <item x="22"/>
        <item x="8"/>
        <item x="46"/>
        <item x="35"/>
        <item x="39"/>
        <item x="6"/>
        <item x="18"/>
        <item x="27"/>
        <item x="31"/>
        <item x="50"/>
        <item x="42"/>
        <item x="4"/>
        <item x="3"/>
        <item x="26"/>
        <item x="45"/>
        <item x="34"/>
        <item x="16"/>
        <item x="1"/>
        <item x="19"/>
        <item x="47"/>
        <item x="28"/>
        <item x="36"/>
        <item x="13"/>
        <item x="30"/>
        <item x="23"/>
        <item x="49"/>
        <item x="41"/>
        <item x="0"/>
        <item x="9"/>
        <item x="17"/>
        <item x="5"/>
        <item x="38"/>
        <item x="33"/>
        <item x="25"/>
        <item x="44"/>
        <item x="14"/>
        <item x="11"/>
        <item x="48"/>
        <item x="20"/>
        <item x="2"/>
        <item x="40"/>
        <item x="29"/>
        <item x="12"/>
        <item x="7"/>
        <item x="32"/>
        <item x="43"/>
        <item x="37"/>
        <item x="24"/>
        <item x="10"/>
        <item t="default"/>
      </items>
    </pivotField>
    <pivotField showAll="0">
      <items count="5">
        <item x="0"/>
        <item x="1"/>
        <item x="2"/>
        <item x="3"/>
        <item t="default"/>
      </items>
    </pivotField>
    <pivotField numFmtId="14" showAll="0">
      <items count="35">
        <item x="0"/>
        <item x="1"/>
        <item x="4"/>
        <item x="2"/>
        <item x="3"/>
        <item x="5"/>
        <item x="9"/>
        <item x="6"/>
        <item x="7"/>
        <item x="8"/>
        <item x="10"/>
        <item x="11"/>
        <item x="12"/>
        <item x="13"/>
        <item x="15"/>
        <item x="18"/>
        <item x="16"/>
        <item x="14"/>
        <item x="17"/>
        <item x="20"/>
        <item x="19"/>
        <item x="21"/>
        <item x="24"/>
        <item x="23"/>
        <item x="22"/>
        <item x="25"/>
        <item x="26"/>
        <item x="27"/>
        <item x="30"/>
        <item x="28"/>
        <item x="29"/>
        <item x="31"/>
        <item x="33"/>
        <item x="32"/>
        <item t="default"/>
      </items>
    </pivotField>
    <pivotField axis="axisPage" multipleItemSelectionAllowed="1" showAll="0">
      <items count="3">
        <item x="0"/>
        <item x="1"/>
        <item t="default"/>
      </items>
    </pivotField>
    <pivotField showAll="0"/>
    <pivotField dataField="1" showAll="0"/>
    <pivotField showAll="0"/>
    <pivotField showAll="0"/>
    <pivotField showAll="0"/>
    <pivotField dragToRow="0" dragToCol="0" dragToPage="0" showAll="0" defaultSubtotal="0"/>
    <pivotField showAll="0" defaultSubtota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sd="0" x="2"/>
        <item x="3"/>
        <item x="4"/>
        <item x="5"/>
        <item x="6"/>
        <item x="7"/>
        <item x="8"/>
        <item x="9"/>
        <item x="10"/>
        <item x="11"/>
        <item x="12"/>
        <item x="13"/>
        <item t="default"/>
      </items>
    </pivotField>
  </pivotFields>
  <rowFields count="2">
    <field x="14"/>
    <field x="13"/>
  </rowFields>
  <rowItems count="2">
    <i>
      <x v="1"/>
    </i>
    <i>
      <x v="2"/>
    </i>
  </rowItems>
  <colItems count="1">
    <i/>
  </colItems>
  <pageFields count="1">
    <pageField fld="5" hier="-1"/>
  </pageFields>
  <dataFields count="1">
    <dataField name="Sum of Order Quantity" fld="7" baseField="0" baseItem="0"/>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1"/>
          </reference>
        </references>
      </pivotArea>
    </chartFormat>
    <chartFormat chart="6" format="7">
      <pivotArea type="data" outline="0" fieldPosition="0">
        <references count="2">
          <reference field="4294967294" count="1" selected="0">
            <x v="0"/>
          </reference>
          <reference field="14" count="1" selected="0">
            <x v="2"/>
          </reference>
        </references>
      </pivotArea>
    </chartFormat>
    <chartFormat chart="2" format="2">
      <pivotArea type="data" outline="0" fieldPosition="0">
        <references count="2">
          <reference field="4294967294" count="1" selected="0">
            <x v="0"/>
          </reference>
          <reference field="14" count="1" selected="0">
            <x v="2"/>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 Name">
  <pivotTables>
    <pivotTable tabId="3" name="PivotTable1"/>
  </pivotTables>
  <data>
    <tabular pivotCacheId="1273858525">
      <items count="51">
        <i x="15" s="1"/>
        <i x="21" s="1"/>
        <i x="22" s="1"/>
        <i x="8" s="1"/>
        <i x="46" s="1"/>
        <i x="35" s="1"/>
        <i x="39" s="1"/>
        <i x="6" s="1"/>
        <i x="18" s="1"/>
        <i x="27" s="1"/>
        <i x="31" s="1"/>
        <i x="50" s="1"/>
        <i x="42" s="1"/>
        <i x="4" s="1"/>
        <i x="3" s="1"/>
        <i x="26" s="1"/>
        <i x="45" s="1"/>
        <i x="34" s="1"/>
        <i x="16" s="1"/>
        <i x="1" s="1"/>
        <i x="19" s="1"/>
        <i x="47" s="1"/>
        <i x="28" s="1"/>
        <i x="36" s="1"/>
        <i x="13" s="1"/>
        <i x="30" s="1"/>
        <i x="23" s="1"/>
        <i x="49" s="1"/>
        <i x="41" s="1"/>
        <i x="0" s="1"/>
        <i x="9" s="1"/>
        <i x="17" s="1"/>
        <i x="5" s="1"/>
        <i x="38" s="1"/>
        <i x="33" s="1"/>
        <i x="25" s="1"/>
        <i x="44" s="1"/>
        <i x="14" s="1"/>
        <i x="11" s="1"/>
        <i x="48" s="1"/>
        <i x="20" s="1"/>
        <i x="2" s="1"/>
        <i x="40" s="1"/>
        <i x="29" s="1"/>
        <i x="12" s="1"/>
        <i x="7" s="1"/>
        <i x="32" s="1"/>
        <i x="43" s="1"/>
        <i x="37" s="1"/>
        <i x="24"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1"/>
    <pivotTable tabId="6" name="PivotTable2"/>
    <pivotTable tabId="9" name="PivotTable1"/>
  </pivotTables>
  <data>
    <tabular pivotCacheId="77085107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5" name="PivotTable1"/>
    <pivotTable tabId="6" name="PivotTable2"/>
    <pivotTable tabId="10" name="PivotTable1"/>
    <pivotTable tabId="9" name="PivotTable1"/>
  </pivotTables>
  <data>
    <tabular pivotCacheId="770851077">
      <items count="4">
        <i x="1" s="1"/>
        <i x="2" s="1"/>
        <i x="0"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otal__USD" sourceName="Total (USD)">
  <pivotTables>
    <pivotTable tabId="3" name="PivotTable1"/>
  </pivotTables>
  <data>
    <tabular pivotCacheId="1273858525">
      <items count="14">
        <i x="1" s="1"/>
        <i x="3" s="1"/>
        <i x="8" s="1"/>
        <i x="0" s="1"/>
        <i x="13" s="1"/>
        <i x="12" s="1"/>
        <i x="6" s="1"/>
        <i x="7" s="1"/>
        <i x="10" s="1"/>
        <i x="11" s="1"/>
        <i x="4" s="1"/>
        <i x="5"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Name 2" cache="Slicer_Customer_Name" caption="Customer Name" rowHeight="247650"/>
  <slicer name="Total (USD)" cache="Slicer_Total__USD" caption="Total (USD)" rowHeight="247650"/>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 Name 1" cache="Slicer_Customer_Name" caption="Customer Name" startItem="31" style="SlicerStyleOther2" rowHeight="247650"/>
  <slicer name="month 1" cache="Slicer_month" caption="month" style="SlicerStyleOther2" rowHeight="247650"/>
  <slicer name="Age 1" cache="Slicer_Age" caption="Age" style="SlicerStyleOther2" rowHeight="247650"/>
  <slicer name="Total (USD) 2" cache="Slicer_Total__USD" caption="Total (USD)" style="SlicerStyleOther2" rowHeight="247650"/>
</slicers>
</file>

<file path=xl/tables/table1.xml><?xml version="1.0" encoding="utf-8"?>
<table xmlns="http://schemas.openxmlformats.org/spreadsheetml/2006/main" id="1" name="Table1" displayName="Table1" ref="B8:K59" totalsRowShown="0" headerRowDxfId="22" dataDxfId="21" tableBorderDxfId="20">
  <tableColumns count="10">
    <tableColumn id="1" name="Order No" dataDxfId="19" totalsRowDxfId="18"/>
    <tableColumn id="2" name="Order Date" dataDxfId="17" totalsRowDxfId="16"/>
    <tableColumn id="3" name="Customer Name" dataDxfId="15" totalsRowDxfId="14"/>
    <tableColumn id="10" name="Age" dataDxfId="13" totalsRowDxfId="12"/>
    <tableColumn id="4" name="Ship Date" dataDxfId="11" totalsRowDxfId="10"/>
    <tableColumn id="12" name="month" dataDxfId="9" totalsRowDxfId="8">
      <calculatedColumnFormula>TEXT(Table1[[#This Row],[Ship Date]],"mmm")</calculatedColumnFormula>
    </tableColumn>
    <tableColumn id="5" name="Retail Price (USD)" dataDxfId="7" totalsRowDxfId="6"/>
    <tableColumn id="6" name="Order Quantity" dataDxfId="5" totalsRowDxfId="4"/>
    <tableColumn id="7" name="Tax (USD)" dataDxfId="3" totalsRowDxfId="2">
      <calculatedColumnFormula>H9*I9*$K$6</calculatedColumnFormula>
    </tableColumn>
    <tableColumn id="8" name="Total (USD)" dataDxfId="1" totalsRowDxfId="0">
      <calculatedColumnFormula>H9*I9+J9</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55"/>
  <sheetViews>
    <sheetView workbookViewId="0">
      <selection activeCell="B4" sqref="B4"/>
    </sheetView>
  </sheetViews>
  <sheetFormatPr defaultRowHeight="14.25"/>
  <cols>
    <col min="1" max="1" width="18.875" bestFit="1" customWidth="1"/>
    <col min="2" max="2" width="17.5" style="15" bestFit="1" customWidth="1"/>
    <col min="3" max="3" width="16.5" bestFit="1" customWidth="1"/>
    <col min="4" max="4" width="11" bestFit="1" customWidth="1"/>
    <col min="5" max="32" width="6.5" bestFit="1" customWidth="1"/>
    <col min="33" max="36" width="6.75" bestFit="1" customWidth="1"/>
    <col min="37" max="37" width="11" bestFit="1" customWidth="1"/>
    <col min="38" max="38" width="9" bestFit="1" customWidth="1"/>
    <col min="39" max="39" width="11" bestFit="1" customWidth="1"/>
    <col min="40" max="71" width="4.875" bestFit="1" customWidth="1"/>
    <col min="72" max="72" width="11" bestFit="1" customWidth="1"/>
  </cols>
  <sheetData>
    <row r="3" spans="1:7" ht="14.45">
      <c r="A3" s="12" t="s">
        <v>114</v>
      </c>
      <c r="B3" s="15" t="s">
        <v>113</v>
      </c>
    </row>
    <row r="4" spans="1:7" ht="14.45">
      <c r="A4" s="13" t="s">
        <v>42</v>
      </c>
      <c r="B4" s="15">
        <v>164.989</v>
      </c>
    </row>
    <row r="5" spans="1:7" ht="14.45">
      <c r="A5" s="13" t="s">
        <v>54</v>
      </c>
      <c r="B5" s="15">
        <v>164.96699999999998</v>
      </c>
      <c r="E5" s="18"/>
      <c r="F5" s="18"/>
      <c r="G5" s="18"/>
    </row>
    <row r="6" spans="1:7" ht="14.45">
      <c r="A6" s="13" t="s">
        <v>56</v>
      </c>
      <c r="B6" s="15">
        <v>142.989</v>
      </c>
    </row>
    <row r="7" spans="1:7" ht="14.45">
      <c r="A7" s="13" t="s">
        <v>28</v>
      </c>
      <c r="B7" s="15">
        <v>98.98899999999999</v>
      </c>
    </row>
    <row r="8" spans="1:7" ht="14.45">
      <c r="A8" s="13" t="s">
        <v>104</v>
      </c>
      <c r="B8" s="15">
        <v>153.97799999999998</v>
      </c>
    </row>
    <row r="9" spans="1:7" ht="14.45">
      <c r="A9" s="13" t="s">
        <v>82</v>
      </c>
      <c r="B9" s="15">
        <v>219.989</v>
      </c>
    </row>
    <row r="10" spans="1:7" ht="14.45">
      <c r="A10" s="13" t="s">
        <v>90</v>
      </c>
      <c r="B10" s="15">
        <v>131.96699999999998</v>
      </c>
    </row>
    <row r="11" spans="1:7" ht="14.45">
      <c r="A11" s="13" t="s">
        <v>24</v>
      </c>
      <c r="B11" s="15">
        <v>148.5</v>
      </c>
    </row>
    <row r="12" spans="1:7" ht="14.45">
      <c r="A12" s="13" t="s">
        <v>48</v>
      </c>
      <c r="B12" s="15">
        <v>219.989</v>
      </c>
    </row>
    <row r="13" spans="1:7" ht="14.45">
      <c r="A13" s="13" t="s">
        <v>66</v>
      </c>
      <c r="B13" s="15">
        <v>164.94499999999999</v>
      </c>
    </row>
    <row r="14" spans="1:7" ht="14.45">
      <c r="A14" s="13" t="s">
        <v>74</v>
      </c>
      <c r="B14" s="15">
        <v>87.955999999999989</v>
      </c>
    </row>
    <row r="15" spans="1:7" ht="14.45">
      <c r="A15" s="13" t="s">
        <v>112</v>
      </c>
      <c r="B15" s="15">
        <v>175.97799999999998</v>
      </c>
    </row>
    <row r="16" spans="1:7" ht="14.45">
      <c r="A16" s="13" t="s">
        <v>96</v>
      </c>
      <c r="B16" s="15">
        <v>164.96699999999998</v>
      </c>
    </row>
    <row r="17" spans="1:2" ht="14.45">
      <c r="A17" s="13" t="s">
        <v>20</v>
      </c>
      <c r="B17" s="15">
        <v>164.989</v>
      </c>
    </row>
    <row r="18" spans="1:2" ht="14.45">
      <c r="A18" s="13" t="s">
        <v>18</v>
      </c>
      <c r="B18" s="15">
        <v>87.955999999999989</v>
      </c>
    </row>
    <row r="19" spans="1:2" ht="14.45">
      <c r="A19" s="13" t="s">
        <v>64</v>
      </c>
      <c r="B19" s="15">
        <v>219.989</v>
      </c>
    </row>
    <row r="20" spans="1:2" ht="14.45">
      <c r="A20" s="13" t="s">
        <v>102</v>
      </c>
      <c r="B20" s="15">
        <v>164.989</v>
      </c>
    </row>
    <row r="21" spans="1:2" ht="14.45">
      <c r="A21" s="13" t="s">
        <v>80</v>
      </c>
      <c r="B21" s="15">
        <v>131.96699999999998</v>
      </c>
    </row>
    <row r="22" spans="1:2" ht="14.45">
      <c r="A22" s="13" t="s">
        <v>44</v>
      </c>
      <c r="B22" s="15">
        <v>153.97799999999998</v>
      </c>
    </row>
    <row r="23" spans="1:2" ht="14.45">
      <c r="A23" s="13" t="s">
        <v>14</v>
      </c>
      <c r="B23" s="15">
        <v>32.988999999999997</v>
      </c>
    </row>
    <row r="24" spans="1:2" ht="14.45">
      <c r="A24" s="13" t="s">
        <v>50</v>
      </c>
      <c r="B24" s="15">
        <v>164.94499999999999</v>
      </c>
    </row>
    <row r="25" spans="1:2" ht="14.45">
      <c r="A25" s="13" t="s">
        <v>106</v>
      </c>
      <c r="B25" s="15">
        <v>131.96699999999998</v>
      </c>
    </row>
    <row r="26" spans="1:2" ht="14.45">
      <c r="A26" s="13" t="s">
        <v>68</v>
      </c>
      <c r="B26" s="15">
        <v>175.97799999999998</v>
      </c>
    </row>
    <row r="27" spans="1:2" ht="14.45">
      <c r="A27" s="13" t="s">
        <v>84</v>
      </c>
      <c r="B27" s="15">
        <v>164.94499999999999</v>
      </c>
    </row>
    <row r="28" spans="1:2" ht="14.45">
      <c r="A28" s="13" t="s">
        <v>38</v>
      </c>
      <c r="B28" s="15">
        <v>142.989</v>
      </c>
    </row>
    <row r="29" spans="1:2" ht="14.45">
      <c r="A29" s="13" t="s">
        <v>72</v>
      </c>
      <c r="B29" s="15">
        <v>142.989</v>
      </c>
    </row>
    <row r="30" spans="1:2" ht="14.45">
      <c r="A30" s="13" t="s">
        <v>58</v>
      </c>
      <c r="B30" s="15">
        <v>87.955999999999989</v>
      </c>
    </row>
    <row r="31" spans="1:2" ht="14.45">
      <c r="A31" s="13" t="s">
        <v>110</v>
      </c>
      <c r="B31" s="15">
        <v>164.94499999999999</v>
      </c>
    </row>
    <row r="32" spans="1:2" ht="14.45">
      <c r="A32" s="13" t="s">
        <v>94</v>
      </c>
      <c r="B32" s="15">
        <v>175.97799999999998</v>
      </c>
    </row>
    <row r="33" spans="1:2" ht="14.45">
      <c r="A33" s="13" t="s">
        <v>12</v>
      </c>
      <c r="B33" s="15">
        <v>109.97800000000001</v>
      </c>
    </row>
    <row r="34" spans="1:2" ht="14.45">
      <c r="A34" s="13" t="s">
        <v>30</v>
      </c>
      <c r="B34" s="15">
        <v>219.989</v>
      </c>
    </row>
    <row r="35" spans="1:2">
      <c r="A35" s="13" t="s">
        <v>46</v>
      </c>
      <c r="B35" s="15">
        <v>131.96699999999998</v>
      </c>
    </row>
    <row r="36" spans="1:2">
      <c r="A36" s="13" t="s">
        <v>22</v>
      </c>
      <c r="B36" s="15">
        <v>175.97799999999998</v>
      </c>
    </row>
    <row r="37" spans="1:2">
      <c r="A37" s="13" t="s">
        <v>88</v>
      </c>
      <c r="B37" s="15">
        <v>164.989</v>
      </c>
    </row>
    <row r="38" spans="1:2">
      <c r="A38" s="13" t="s">
        <v>78</v>
      </c>
      <c r="B38" s="15">
        <v>153.97799999999998</v>
      </c>
    </row>
    <row r="39" spans="1:2">
      <c r="A39" s="13" t="s">
        <v>62</v>
      </c>
      <c r="B39" s="15">
        <v>131.96699999999998</v>
      </c>
    </row>
    <row r="40" spans="1:2">
      <c r="A40" s="13" t="s">
        <v>100</v>
      </c>
      <c r="B40" s="15">
        <v>87.955999999999989</v>
      </c>
    </row>
    <row r="41" spans="1:2">
      <c r="A41" s="13" t="s">
        <v>40</v>
      </c>
      <c r="B41" s="15">
        <v>87.955999999999989</v>
      </c>
    </row>
    <row r="42" spans="1:2">
      <c r="A42" s="13" t="s">
        <v>34</v>
      </c>
      <c r="B42" s="15">
        <v>175.97799999999998</v>
      </c>
    </row>
    <row r="43" spans="1:2">
      <c r="A43" s="13" t="s">
        <v>108</v>
      </c>
      <c r="B43" s="15">
        <v>219.989</v>
      </c>
    </row>
    <row r="44" spans="1:2">
      <c r="A44" s="13" t="s">
        <v>52</v>
      </c>
      <c r="B44" s="15">
        <v>175.97799999999998</v>
      </c>
    </row>
    <row r="45" spans="1:2">
      <c r="A45" s="13" t="s">
        <v>16</v>
      </c>
      <c r="B45" s="15">
        <v>329.96699999999998</v>
      </c>
    </row>
    <row r="46" spans="1:2">
      <c r="A46" s="13" t="s">
        <v>92</v>
      </c>
      <c r="B46" s="15">
        <v>164.94499999999999</v>
      </c>
    </row>
    <row r="47" spans="1:2">
      <c r="A47" s="13" t="s">
        <v>70</v>
      </c>
      <c r="B47" s="15">
        <v>164.96699999999998</v>
      </c>
    </row>
    <row r="48" spans="1:2">
      <c r="A48" s="13" t="s">
        <v>36</v>
      </c>
      <c r="B48" s="15">
        <v>164.96699999999998</v>
      </c>
    </row>
    <row r="49" spans="1:2">
      <c r="A49" s="13" t="s">
        <v>26</v>
      </c>
      <c r="B49" s="15">
        <v>153.97799999999998</v>
      </c>
    </row>
    <row r="50" spans="1:2">
      <c r="A50" s="13" t="s">
        <v>76</v>
      </c>
      <c r="B50" s="15">
        <v>164.989</v>
      </c>
    </row>
    <row r="51" spans="1:2">
      <c r="A51" s="13" t="s">
        <v>98</v>
      </c>
      <c r="B51" s="15">
        <v>142.989</v>
      </c>
    </row>
    <row r="52" spans="1:2">
      <c r="A52" s="13" t="s">
        <v>86</v>
      </c>
      <c r="B52" s="15">
        <v>87.955999999999989</v>
      </c>
    </row>
    <row r="53" spans="1:2">
      <c r="A53" s="13" t="s">
        <v>60</v>
      </c>
      <c r="B53" s="15">
        <v>153.97799999999998</v>
      </c>
    </row>
    <row r="54" spans="1:2">
      <c r="A54" s="13" t="s">
        <v>32</v>
      </c>
      <c r="B54" s="15">
        <v>164.94499999999999</v>
      </c>
    </row>
    <row r="55" spans="1:2">
      <c r="B55"/>
    </row>
  </sheetData>
  <mergeCells count="1">
    <mergeCell ref="E5:G5"/>
  </mergeCells>
  <pageMargins left="0.7" right="0.7" top="0.75" bottom="0.75" header="0.3" footer="0.3"/>
  <pageSetup paperSize="9" orientation="portrait" verticalDpi="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
  <sheetViews>
    <sheetView showGridLines="0" workbookViewId="0">
      <selection activeCell="F13" sqref="F13"/>
    </sheetView>
  </sheetViews>
  <sheetFormatPr defaultRowHeight="14.25"/>
  <cols>
    <col min="1" max="1" width="12.5" bestFit="1" customWidth="1"/>
    <col min="2" max="2" width="23.125" style="15" bestFit="1" customWidth="1"/>
    <col min="3" max="3" width="16.125" style="15" bestFit="1" customWidth="1"/>
    <col min="4" max="4" width="17.5" style="15" bestFit="1" customWidth="1"/>
    <col min="6" max="6" width="12.5" bestFit="1" customWidth="1"/>
    <col min="7" max="7" width="16.5" bestFit="1" customWidth="1"/>
    <col min="8" max="8" width="17.5" bestFit="1" customWidth="1"/>
  </cols>
  <sheetData>
    <row r="3" spans="1:4">
      <c r="A3" s="12" t="s">
        <v>114</v>
      </c>
      <c r="B3" s="15" t="s">
        <v>119</v>
      </c>
      <c r="C3" s="15" t="s">
        <v>120</v>
      </c>
      <c r="D3" s="15" t="s">
        <v>113</v>
      </c>
    </row>
    <row r="4" spans="1:4">
      <c r="A4" s="13" t="s">
        <v>115</v>
      </c>
      <c r="B4" s="15">
        <v>5214.3899999999921</v>
      </c>
      <c r="C4" s="15">
        <v>874.35500000000036</v>
      </c>
      <c r="D4" s="15">
        <v>9617.9049999999934</v>
      </c>
    </row>
    <row r="5" spans="1:4">
      <c r="A5" s="13" t="s">
        <v>116</v>
      </c>
      <c r="B5" s="15">
        <v>699.92000000000007</v>
      </c>
      <c r="C5" s="15">
        <v>113.97999999999999</v>
      </c>
      <c r="D5" s="15">
        <v>1253.78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
  <sheetViews>
    <sheetView showGridLines="0" workbookViewId="0">
      <selection activeCell="C4" sqref="C4"/>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tabSelected="1" workbookViewId="0">
      <selection activeCell="B5" sqref="B5"/>
    </sheetView>
  </sheetViews>
  <sheetFormatPr defaultRowHeight="14.25"/>
  <cols>
    <col min="1" max="1" width="12.5" bestFit="1" customWidth="1"/>
    <col min="2" max="2" width="17.5" style="15" bestFit="1" customWidth="1"/>
  </cols>
  <sheetData>
    <row r="3" spans="1:2">
      <c r="A3" s="12" t="s">
        <v>114</v>
      </c>
      <c r="B3" s="15" t="s">
        <v>113</v>
      </c>
    </row>
    <row r="4" spans="1:2">
      <c r="A4" s="13" t="s">
        <v>121</v>
      </c>
      <c r="B4" s="15">
        <v>6422.9769999999971</v>
      </c>
    </row>
    <row r="5" spans="1:2">
      <c r="A5" s="13" t="s">
        <v>122</v>
      </c>
      <c r="B5" s="15">
        <v>4448.7080000000005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5"/>
  <sheetViews>
    <sheetView workbookViewId="0">
      <selection activeCell="B9" sqref="B9"/>
    </sheetView>
  </sheetViews>
  <sheetFormatPr defaultRowHeight="14.25"/>
  <cols>
    <col min="1" max="1" width="16.5" bestFit="1" customWidth="1"/>
    <col min="2" max="2" width="17.5" style="15" bestFit="1" customWidth="1"/>
  </cols>
  <sheetData>
    <row r="3" spans="1:2" ht="14.45">
      <c r="A3" s="12" t="s">
        <v>114</v>
      </c>
      <c r="B3" s="15" t="s">
        <v>113</v>
      </c>
    </row>
    <row r="4" spans="1:2" ht="14.45">
      <c r="A4" s="13" t="s">
        <v>50</v>
      </c>
      <c r="B4" s="15">
        <v>538.91199999999992</v>
      </c>
    </row>
    <row r="5" spans="1:2" ht="14.45">
      <c r="A5" s="13" t="s">
        <v>16</v>
      </c>
      <c r="B5" s="15">
        <v>505.94499999999994</v>
      </c>
    </row>
    <row r="6" spans="1:2" ht="14.45">
      <c r="A6" s="13" t="s">
        <v>20</v>
      </c>
      <c r="B6" s="15">
        <v>472.96699999999998</v>
      </c>
    </row>
    <row r="7" spans="1:2" ht="14.45">
      <c r="A7" s="13" t="s">
        <v>94</v>
      </c>
      <c r="B7" s="15">
        <v>395.96699999999998</v>
      </c>
    </row>
    <row r="8" spans="1:2" ht="14.45">
      <c r="A8" s="13" t="s">
        <v>96</v>
      </c>
      <c r="B8" s="15">
        <v>329.91199999999998</v>
      </c>
    </row>
    <row r="9" spans="1:2" ht="14.45">
      <c r="A9" s="13" t="s">
        <v>18</v>
      </c>
      <c r="B9" s="15">
        <v>329.89</v>
      </c>
    </row>
    <row r="10" spans="1:2" ht="14.45">
      <c r="A10" s="13" t="s">
        <v>98</v>
      </c>
      <c r="B10" s="15">
        <v>318.96699999999998</v>
      </c>
    </row>
    <row r="11" spans="1:2" ht="14.45">
      <c r="A11" s="13" t="s">
        <v>102</v>
      </c>
      <c r="B11" s="15">
        <v>307.97800000000001</v>
      </c>
    </row>
    <row r="12" spans="1:2" ht="14.45">
      <c r="A12" s="13" t="s">
        <v>88</v>
      </c>
      <c r="B12" s="15">
        <v>307.97800000000001</v>
      </c>
    </row>
    <row r="13" spans="1:2" ht="14.45">
      <c r="A13" s="13" t="s">
        <v>106</v>
      </c>
      <c r="B13" s="15">
        <v>296.95600000000002</v>
      </c>
    </row>
    <row r="14" spans="1:2" ht="14.45">
      <c r="A14" s="13" t="s">
        <v>90</v>
      </c>
      <c r="B14" s="15">
        <v>296.95600000000002</v>
      </c>
    </row>
    <row r="15" spans="1:2" ht="14.45">
      <c r="B15"/>
    </row>
    <row r="16" spans="1:2" ht="14.45">
      <c r="B16"/>
    </row>
    <row r="17" spans="2:2" ht="14.45">
      <c r="B17"/>
    </row>
    <row r="18" spans="2:2" ht="14.45">
      <c r="B18"/>
    </row>
    <row r="19" spans="2:2" ht="14.45">
      <c r="B19"/>
    </row>
    <row r="20" spans="2:2" ht="14.45">
      <c r="B20"/>
    </row>
    <row r="21" spans="2:2" ht="14.45">
      <c r="B21"/>
    </row>
    <row r="22" spans="2:2" ht="14.45">
      <c r="B22"/>
    </row>
    <row r="23" spans="2:2" ht="14.45">
      <c r="B23"/>
    </row>
    <row r="24" spans="2:2" ht="14.45">
      <c r="B24"/>
    </row>
    <row r="25" spans="2:2" ht="14.45">
      <c r="B25"/>
    </row>
    <row r="26" spans="2:2" ht="14.45">
      <c r="B26"/>
    </row>
    <row r="27" spans="2:2" ht="14.45">
      <c r="B27"/>
    </row>
    <row r="28" spans="2:2" ht="14.45">
      <c r="B28"/>
    </row>
    <row r="29" spans="2:2" ht="14.45">
      <c r="B29"/>
    </row>
    <row r="30" spans="2:2" ht="14.45">
      <c r="B30"/>
    </row>
    <row r="31" spans="2:2" ht="14.45">
      <c r="B31"/>
    </row>
    <row r="32" spans="2:2" ht="14.45">
      <c r="B32"/>
    </row>
    <row r="33" spans="2:2" ht="14.45">
      <c r="B33"/>
    </row>
    <row r="34" spans="2:2" ht="14.45">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1" sqref="B11"/>
    </sheetView>
  </sheetViews>
  <sheetFormatPr defaultRowHeight="14.25"/>
  <cols>
    <col min="1" max="1" width="13.125" bestFit="1" customWidth="1"/>
    <col min="2" max="2" width="20.875" bestFit="1" customWidth="1"/>
    <col min="3" max="3" width="16.5" bestFit="1" customWidth="1"/>
    <col min="4" max="4" width="19.5" bestFit="1" customWidth="1"/>
    <col min="5" max="5" width="17.75" bestFit="1" customWidth="1"/>
    <col min="6" max="6" width="11.75" bestFit="1" customWidth="1"/>
    <col min="7" max="7" width="11.25" bestFit="1" customWidth="1"/>
    <col min="8" max="8" width="15.75" bestFit="1" customWidth="1"/>
    <col min="9" max="9" width="14" bestFit="1" customWidth="1"/>
    <col min="10" max="10" width="11.625" bestFit="1" customWidth="1"/>
    <col min="11" max="11" width="12.375" bestFit="1" customWidth="1"/>
    <col min="12" max="12" width="11.25" bestFit="1" customWidth="1"/>
    <col min="13" max="13" width="13.5" bestFit="1" customWidth="1"/>
    <col min="14" max="14" width="14.5" bestFit="1" customWidth="1"/>
    <col min="15" max="15" width="11.75" bestFit="1" customWidth="1"/>
    <col min="16" max="16" width="11.125" bestFit="1" customWidth="1"/>
    <col min="17" max="17" width="10.5" bestFit="1" customWidth="1"/>
    <col min="18" max="18" width="12.5" bestFit="1" customWidth="1"/>
    <col min="19" max="19" width="14.375" bestFit="1" customWidth="1"/>
    <col min="20" max="20" width="13.25" bestFit="1" customWidth="1"/>
    <col min="21" max="21" width="8.25" bestFit="1" customWidth="1"/>
    <col min="22" max="22" width="12.375" bestFit="1" customWidth="1"/>
    <col min="23" max="23" width="16.875" bestFit="1" customWidth="1"/>
    <col min="24" max="24" width="15.125" bestFit="1" customWidth="1"/>
    <col min="25" max="25" width="12.75" bestFit="1" customWidth="1"/>
    <col min="26" max="26" width="15.125" bestFit="1" customWidth="1"/>
    <col min="27" max="27" width="14" bestFit="1" customWidth="1"/>
    <col min="28" max="28" width="14.625" bestFit="1" customWidth="1"/>
    <col min="29" max="29" width="12.375" bestFit="1" customWidth="1"/>
    <col min="30" max="30" width="13.125" bestFit="1" customWidth="1"/>
    <col min="31" max="31" width="10" bestFit="1" customWidth="1"/>
    <col min="32" max="32" width="14.5" bestFit="1" customWidth="1"/>
    <col min="33" max="33" width="11" bestFit="1" customWidth="1"/>
    <col min="34" max="34" width="9.625" bestFit="1" customWidth="1"/>
    <col min="35" max="35" width="14.125" bestFit="1" customWidth="1"/>
    <col min="36" max="36" width="17.625" bestFit="1" customWidth="1"/>
    <col min="37" max="37" width="15.125" bestFit="1" customWidth="1"/>
    <col min="38" max="38" width="13.5" bestFit="1" customWidth="1"/>
    <col min="39" max="39" width="14.25" bestFit="1" customWidth="1"/>
    <col min="40" max="41" width="12.5" bestFit="1" customWidth="1"/>
    <col min="42" max="42" width="13.5" bestFit="1" customWidth="1"/>
    <col min="43" max="43" width="14.5" bestFit="1" customWidth="1"/>
    <col min="44" max="44" width="15.25" bestFit="1" customWidth="1"/>
    <col min="45" max="45" width="12.875" bestFit="1" customWidth="1"/>
    <col min="46" max="46" width="12.5" bestFit="1" customWidth="1"/>
    <col min="47" max="47" width="14" bestFit="1" customWidth="1"/>
    <col min="48" max="48" width="11.625" bestFit="1" customWidth="1"/>
    <col min="49" max="49" width="13.875" bestFit="1" customWidth="1"/>
    <col min="50" max="50" width="12.625" bestFit="1" customWidth="1"/>
    <col min="51" max="51" width="11.125" bestFit="1" customWidth="1"/>
    <col min="52" max="52" width="17" bestFit="1" customWidth="1"/>
    <col min="53" max="53" width="10.5" bestFit="1" customWidth="1"/>
  </cols>
  <sheetData>
    <row r="1" spans="1:2">
      <c r="A1" s="12" t="s">
        <v>118</v>
      </c>
      <c r="B1" t="s">
        <v>124</v>
      </c>
    </row>
    <row r="3" spans="1:2">
      <c r="A3" s="12" t="s">
        <v>114</v>
      </c>
      <c r="B3" t="s">
        <v>123</v>
      </c>
    </row>
    <row r="4" spans="1:2">
      <c r="A4" s="13" t="s">
        <v>115</v>
      </c>
      <c r="B4" s="17">
        <v>141</v>
      </c>
    </row>
    <row r="5" spans="1:2">
      <c r="A5" s="13" t="s">
        <v>116</v>
      </c>
      <c r="B5" s="17">
        <v>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K77"/>
  <sheetViews>
    <sheetView showGridLines="0" workbookViewId="0">
      <selection activeCell="H11" sqref="H11"/>
    </sheetView>
  </sheetViews>
  <sheetFormatPr defaultColWidth="8.875" defaultRowHeight="15"/>
  <cols>
    <col min="1" max="1" width="4.5" style="2" customWidth="1"/>
    <col min="2" max="2" width="12.625" style="2" bestFit="1" customWidth="1"/>
    <col min="3" max="3" width="13.625" style="2" customWidth="1"/>
    <col min="4" max="5" width="19.5" style="2" customWidth="1"/>
    <col min="6" max="7" width="13.5" style="2" customWidth="1"/>
    <col min="8" max="8" width="19.5" style="2" customWidth="1"/>
    <col min="9" max="9" width="17.375" style="2" customWidth="1"/>
    <col min="10" max="10" width="11" style="2" customWidth="1"/>
    <col min="11" max="11" width="13.375" style="2" customWidth="1"/>
    <col min="12" max="16384" width="8.875" style="2"/>
  </cols>
  <sheetData>
    <row r="2" spans="2:11" ht="18.600000000000001" thickBot="1">
      <c r="B2" s="1" t="s">
        <v>0</v>
      </c>
      <c r="C2" s="1"/>
      <c r="D2" s="1"/>
      <c r="E2" s="1"/>
      <c r="F2" s="1"/>
      <c r="G2" s="1"/>
      <c r="H2" s="1"/>
      <c r="I2" s="1"/>
      <c r="J2" s="1"/>
      <c r="K2" s="1"/>
    </row>
    <row r="4" spans="2:11" ht="18.600000000000001" thickBot="1">
      <c r="B4" s="3" t="s">
        <v>1</v>
      </c>
      <c r="C4" s="1"/>
      <c r="D4" s="1"/>
      <c r="E4" s="1"/>
      <c r="F4" s="1"/>
      <c r="G4" s="1"/>
      <c r="H4" s="1"/>
      <c r="I4" s="1"/>
      <c r="J4" s="1"/>
      <c r="K4" s="1"/>
    </row>
    <row r="6" spans="2:11" ht="15.6">
      <c r="J6" s="4" t="s">
        <v>2</v>
      </c>
      <c r="K6" s="5">
        <v>0.1</v>
      </c>
    </row>
    <row r="8" spans="2:11" ht="15.6">
      <c r="B8" s="8" t="s">
        <v>3</v>
      </c>
      <c r="C8" s="4" t="s">
        <v>4</v>
      </c>
      <c r="D8" s="4" t="s">
        <v>5</v>
      </c>
      <c r="E8" s="4" t="s">
        <v>117</v>
      </c>
      <c r="F8" s="4" t="s">
        <v>6</v>
      </c>
      <c r="G8" s="4" t="s">
        <v>118</v>
      </c>
      <c r="H8" s="4" t="s">
        <v>7</v>
      </c>
      <c r="I8" s="4" t="s">
        <v>8</v>
      </c>
      <c r="J8" s="4" t="s">
        <v>9</v>
      </c>
      <c r="K8" s="10" t="s">
        <v>10</v>
      </c>
    </row>
    <row r="9" spans="2:11" ht="14.45">
      <c r="B9" s="9" t="s">
        <v>11</v>
      </c>
      <c r="C9" s="7">
        <v>45292</v>
      </c>
      <c r="D9" s="6" t="s">
        <v>12</v>
      </c>
      <c r="E9" s="6">
        <v>22</v>
      </c>
      <c r="F9" s="7">
        <v>45294</v>
      </c>
      <c r="G9" s="7" t="str">
        <f>TEXT(Table1[[#This Row],[Ship Date]],"mmm")</f>
        <v>Jan</v>
      </c>
      <c r="H9" s="6">
        <v>49.99</v>
      </c>
      <c r="I9" s="6">
        <v>2</v>
      </c>
      <c r="J9" s="6">
        <f t="shared" ref="J9:J40" si="0">H9*I9*$K$6</f>
        <v>9.9980000000000011</v>
      </c>
      <c r="K9" s="11">
        <f t="shared" ref="K9:K40" si="1">H9*I9+J9</f>
        <v>109.97800000000001</v>
      </c>
    </row>
    <row r="10" spans="2:11" ht="14.45">
      <c r="B10" s="9" t="s">
        <v>13</v>
      </c>
      <c r="C10" s="7">
        <v>45292</v>
      </c>
      <c r="D10" s="6" t="s">
        <v>14</v>
      </c>
      <c r="E10" s="6">
        <v>29</v>
      </c>
      <c r="F10" s="7">
        <v>45295</v>
      </c>
      <c r="G10" s="7" t="str">
        <f>TEXT(Table1[[#This Row],[Ship Date]],"mmm")</f>
        <v>Jan</v>
      </c>
      <c r="H10" s="6">
        <v>29.99</v>
      </c>
      <c r="I10" s="6">
        <v>1</v>
      </c>
      <c r="J10" s="6">
        <f t="shared" si="0"/>
        <v>2.9990000000000001</v>
      </c>
      <c r="K10" s="11">
        <f t="shared" si="1"/>
        <v>32.988999999999997</v>
      </c>
    </row>
    <row r="11" spans="2:11" ht="14.45">
      <c r="B11" s="9" t="s">
        <v>15</v>
      </c>
      <c r="C11" s="7">
        <v>45293</v>
      </c>
      <c r="D11" s="6" t="s">
        <v>16</v>
      </c>
      <c r="E11" s="6">
        <v>28</v>
      </c>
      <c r="F11" s="7">
        <v>45298</v>
      </c>
      <c r="G11" s="7" t="str">
        <f>TEXT(Table1[[#This Row],[Ship Date]],"mmm")</f>
        <v>Jan</v>
      </c>
      <c r="H11" s="6">
        <v>99.99</v>
      </c>
      <c r="I11" s="6">
        <v>3</v>
      </c>
      <c r="J11" s="6">
        <f t="shared" si="0"/>
        <v>29.997</v>
      </c>
      <c r="K11" s="11">
        <f t="shared" si="1"/>
        <v>329.96699999999998</v>
      </c>
    </row>
    <row r="12" spans="2:11" ht="14.45">
      <c r="B12" s="9" t="s">
        <v>17</v>
      </c>
      <c r="C12" s="7">
        <v>45293</v>
      </c>
      <c r="D12" s="6" t="s">
        <v>18</v>
      </c>
      <c r="E12" s="6">
        <v>30</v>
      </c>
      <c r="F12" s="7">
        <v>45294</v>
      </c>
      <c r="G12" s="7" t="str">
        <f>TEXT(Table1[[#This Row],[Ship Date]],"mmm")</f>
        <v>Jan</v>
      </c>
      <c r="H12" s="6">
        <v>19.989999999999998</v>
      </c>
      <c r="I12" s="6">
        <v>4</v>
      </c>
      <c r="J12" s="6">
        <f t="shared" si="0"/>
        <v>7.9959999999999996</v>
      </c>
      <c r="K12" s="11">
        <f t="shared" si="1"/>
        <v>87.955999999999989</v>
      </c>
    </row>
    <row r="13" spans="2:11" ht="14.45">
      <c r="B13" s="9" t="s">
        <v>19</v>
      </c>
      <c r="C13" s="7">
        <v>45294</v>
      </c>
      <c r="D13" s="6" t="s">
        <v>20</v>
      </c>
      <c r="E13" s="6">
        <v>32</v>
      </c>
      <c r="F13" s="7">
        <v>45299</v>
      </c>
      <c r="G13" s="7" t="str">
        <f>TEXT(Table1[[#This Row],[Ship Date]],"mmm")</f>
        <v>Jan</v>
      </c>
      <c r="H13" s="6">
        <v>149.99</v>
      </c>
      <c r="I13" s="6">
        <v>1</v>
      </c>
      <c r="J13" s="6">
        <f t="shared" si="0"/>
        <v>14.999000000000002</v>
      </c>
      <c r="K13" s="11">
        <f t="shared" si="1"/>
        <v>164.989</v>
      </c>
    </row>
    <row r="14" spans="2:11" ht="14.45">
      <c r="B14" s="9" t="s">
        <v>21</v>
      </c>
      <c r="C14" s="7">
        <v>45294</v>
      </c>
      <c r="D14" s="6" t="s">
        <v>22</v>
      </c>
      <c r="E14" s="6">
        <v>40</v>
      </c>
      <c r="F14" s="7">
        <v>45297</v>
      </c>
      <c r="G14" s="7" t="str">
        <f>TEXT(Table1[[#This Row],[Ship Date]],"mmm")</f>
        <v>Jan</v>
      </c>
      <c r="H14" s="6">
        <v>79.989999999999995</v>
      </c>
      <c r="I14" s="6">
        <v>2</v>
      </c>
      <c r="J14" s="6">
        <f t="shared" si="0"/>
        <v>15.997999999999999</v>
      </c>
      <c r="K14" s="11">
        <f t="shared" si="1"/>
        <v>175.97799999999998</v>
      </c>
    </row>
    <row r="15" spans="2:11" ht="14.45">
      <c r="B15" s="9" t="s">
        <v>23</v>
      </c>
      <c r="C15" s="7">
        <v>45295</v>
      </c>
      <c r="D15" s="6" t="s">
        <v>24</v>
      </c>
      <c r="E15" s="6">
        <v>48</v>
      </c>
      <c r="F15" s="7">
        <v>45297</v>
      </c>
      <c r="G15" s="7" t="str">
        <f>TEXT(Table1[[#This Row],[Ship Date]],"mmm")</f>
        <v>Jan</v>
      </c>
      <c r="H15" s="6">
        <v>45</v>
      </c>
      <c r="I15" s="6">
        <v>3</v>
      </c>
      <c r="J15" s="6">
        <f t="shared" si="0"/>
        <v>13.5</v>
      </c>
      <c r="K15" s="11">
        <f t="shared" si="1"/>
        <v>148.5</v>
      </c>
    </row>
    <row r="16" spans="2:11" ht="14.45">
      <c r="B16" s="9" t="s">
        <v>25</v>
      </c>
      <c r="C16" s="7">
        <v>45295</v>
      </c>
      <c r="D16" s="6" t="s">
        <v>26</v>
      </c>
      <c r="E16" s="6">
        <v>29</v>
      </c>
      <c r="F16" s="7">
        <v>45300</v>
      </c>
      <c r="G16" s="7" t="str">
        <f>TEXT(Table1[[#This Row],[Ship Date]],"mmm")</f>
        <v>Jan</v>
      </c>
      <c r="H16" s="6">
        <v>69.989999999999995</v>
      </c>
      <c r="I16" s="6">
        <v>2</v>
      </c>
      <c r="J16" s="6">
        <f t="shared" si="0"/>
        <v>13.997999999999999</v>
      </c>
      <c r="K16" s="11">
        <f t="shared" si="1"/>
        <v>153.97799999999998</v>
      </c>
    </row>
    <row r="17" spans="2:11" ht="14.45">
      <c r="B17" s="9" t="s">
        <v>27</v>
      </c>
      <c r="C17" s="7">
        <v>45296</v>
      </c>
      <c r="D17" s="6" t="s">
        <v>28</v>
      </c>
      <c r="E17" s="6">
        <v>26</v>
      </c>
      <c r="F17" s="7">
        <v>45297</v>
      </c>
      <c r="G17" s="7" t="str">
        <f>TEXT(Table1[[#This Row],[Ship Date]],"mmm")</f>
        <v>Jan</v>
      </c>
      <c r="H17" s="6">
        <v>89.99</v>
      </c>
      <c r="I17" s="6">
        <v>1</v>
      </c>
      <c r="J17" s="6">
        <f t="shared" si="0"/>
        <v>8.9990000000000006</v>
      </c>
      <c r="K17" s="11">
        <f t="shared" si="1"/>
        <v>98.98899999999999</v>
      </c>
    </row>
    <row r="18" spans="2:11" ht="14.45">
      <c r="B18" s="9" t="s">
        <v>29</v>
      </c>
      <c r="C18" s="7">
        <v>45296</v>
      </c>
      <c r="D18" s="6" t="s">
        <v>30</v>
      </c>
      <c r="E18" s="6">
        <v>27</v>
      </c>
      <c r="F18" s="7">
        <v>45299</v>
      </c>
      <c r="G18" s="7" t="str">
        <f>TEXT(Table1[[#This Row],[Ship Date]],"mmm")</f>
        <v>Jan</v>
      </c>
      <c r="H18" s="6">
        <v>199.99</v>
      </c>
      <c r="I18" s="6">
        <v>1</v>
      </c>
      <c r="J18" s="6">
        <f t="shared" si="0"/>
        <v>19.999000000000002</v>
      </c>
      <c r="K18" s="11">
        <f t="shared" si="1"/>
        <v>219.989</v>
      </c>
    </row>
    <row r="19" spans="2:11" ht="14.45">
      <c r="B19" s="9" t="s">
        <v>31</v>
      </c>
      <c r="C19" s="7">
        <v>45297</v>
      </c>
      <c r="D19" s="6" t="s">
        <v>32</v>
      </c>
      <c r="E19" s="6">
        <v>28</v>
      </c>
      <c r="F19" s="7">
        <v>45298</v>
      </c>
      <c r="G19" s="7" t="str">
        <f>TEXT(Table1[[#This Row],[Ship Date]],"mmm")</f>
        <v>Jan</v>
      </c>
      <c r="H19" s="6">
        <v>29.99</v>
      </c>
      <c r="I19" s="6">
        <v>5</v>
      </c>
      <c r="J19" s="6">
        <f t="shared" si="0"/>
        <v>14.994999999999999</v>
      </c>
      <c r="K19" s="11">
        <f t="shared" si="1"/>
        <v>164.94499999999999</v>
      </c>
    </row>
    <row r="20" spans="2:11" ht="14.45">
      <c r="B20" s="9" t="s">
        <v>33</v>
      </c>
      <c r="C20" s="7">
        <v>45297</v>
      </c>
      <c r="D20" s="6" t="s">
        <v>34</v>
      </c>
      <c r="E20" s="6">
        <v>29</v>
      </c>
      <c r="F20" s="7">
        <v>45299</v>
      </c>
      <c r="G20" s="7" t="str">
        <f>TEXT(Table1[[#This Row],[Ship Date]],"mmm")</f>
        <v>Jan</v>
      </c>
      <c r="H20" s="6">
        <v>79.989999999999995</v>
      </c>
      <c r="I20" s="6">
        <v>2</v>
      </c>
      <c r="J20" s="6">
        <f t="shared" si="0"/>
        <v>15.997999999999999</v>
      </c>
      <c r="K20" s="11">
        <f t="shared" si="1"/>
        <v>175.97799999999998</v>
      </c>
    </row>
    <row r="21" spans="2:11" ht="14.45">
      <c r="B21" s="9" t="s">
        <v>35</v>
      </c>
      <c r="C21" s="7">
        <v>45298</v>
      </c>
      <c r="D21" s="6" t="s">
        <v>36</v>
      </c>
      <c r="E21" s="6">
        <v>30</v>
      </c>
      <c r="F21" s="7">
        <v>45300</v>
      </c>
      <c r="G21" s="7" t="str">
        <f>TEXT(Table1[[#This Row],[Ship Date]],"mmm")</f>
        <v>Jan</v>
      </c>
      <c r="H21" s="6">
        <v>49.99</v>
      </c>
      <c r="I21" s="6">
        <v>3</v>
      </c>
      <c r="J21" s="6">
        <f t="shared" si="0"/>
        <v>14.997</v>
      </c>
      <c r="K21" s="11">
        <f t="shared" si="1"/>
        <v>164.96699999999998</v>
      </c>
    </row>
    <row r="22" spans="2:11" ht="14.45">
      <c r="B22" s="9" t="s">
        <v>37</v>
      </c>
      <c r="C22" s="7">
        <v>45298</v>
      </c>
      <c r="D22" s="6" t="s">
        <v>38</v>
      </c>
      <c r="E22" s="6">
        <v>31</v>
      </c>
      <c r="F22" s="7">
        <v>45303</v>
      </c>
      <c r="G22" s="7" t="str">
        <f>TEXT(Table1[[#This Row],[Ship Date]],"mmm")</f>
        <v>Jan</v>
      </c>
      <c r="H22" s="6">
        <v>129.99</v>
      </c>
      <c r="I22" s="6">
        <v>1</v>
      </c>
      <c r="J22" s="6">
        <f t="shared" si="0"/>
        <v>12.999000000000002</v>
      </c>
      <c r="K22" s="11">
        <f t="shared" si="1"/>
        <v>142.989</v>
      </c>
    </row>
    <row r="23" spans="2:11" ht="14.45">
      <c r="B23" s="9" t="s">
        <v>39</v>
      </c>
      <c r="C23" s="7">
        <v>45299</v>
      </c>
      <c r="D23" s="6" t="s">
        <v>40</v>
      </c>
      <c r="E23" s="6">
        <v>32</v>
      </c>
      <c r="F23" s="7">
        <v>45304</v>
      </c>
      <c r="G23" s="7" t="str">
        <f>TEXT(Table1[[#This Row],[Ship Date]],"mmm")</f>
        <v>Jan</v>
      </c>
      <c r="H23" s="6">
        <v>19.989999999999998</v>
      </c>
      <c r="I23" s="6">
        <v>4</v>
      </c>
      <c r="J23" s="6">
        <f t="shared" si="0"/>
        <v>7.9959999999999996</v>
      </c>
      <c r="K23" s="11">
        <f t="shared" si="1"/>
        <v>87.955999999999989</v>
      </c>
    </row>
    <row r="24" spans="2:11" ht="14.45">
      <c r="B24" s="9" t="s">
        <v>41</v>
      </c>
      <c r="C24" s="7">
        <v>45299</v>
      </c>
      <c r="D24" s="6" t="s">
        <v>42</v>
      </c>
      <c r="E24" s="6">
        <v>33</v>
      </c>
      <c r="F24" s="7">
        <v>45303</v>
      </c>
      <c r="G24" s="7" t="str">
        <f>TEXT(Table1[[#This Row],[Ship Date]],"mmm")</f>
        <v>Jan</v>
      </c>
      <c r="H24" s="6">
        <v>149.99</v>
      </c>
      <c r="I24" s="6">
        <v>1</v>
      </c>
      <c r="J24" s="6">
        <f t="shared" si="0"/>
        <v>14.999000000000002</v>
      </c>
      <c r="K24" s="11">
        <f t="shared" si="1"/>
        <v>164.989</v>
      </c>
    </row>
    <row r="25" spans="2:11" ht="14.45">
      <c r="B25" s="9" t="s">
        <v>43</v>
      </c>
      <c r="C25" s="7">
        <v>45300</v>
      </c>
      <c r="D25" s="6" t="s">
        <v>44</v>
      </c>
      <c r="E25" s="6">
        <v>34</v>
      </c>
      <c r="F25" s="7">
        <v>45305</v>
      </c>
      <c r="G25" s="7" t="str">
        <f>TEXT(Table1[[#This Row],[Ship Date]],"mmm")</f>
        <v>Jan</v>
      </c>
      <c r="H25" s="6">
        <v>69.989999999999995</v>
      </c>
      <c r="I25" s="6">
        <v>2</v>
      </c>
      <c r="J25" s="6">
        <f t="shared" si="0"/>
        <v>13.997999999999999</v>
      </c>
      <c r="K25" s="11">
        <f t="shared" si="1"/>
        <v>153.97799999999998</v>
      </c>
    </row>
    <row r="26" spans="2:11" ht="14.45">
      <c r="B26" s="9" t="s">
        <v>45</v>
      </c>
      <c r="C26" s="7">
        <v>45300</v>
      </c>
      <c r="D26" s="6" t="s">
        <v>46</v>
      </c>
      <c r="E26" s="6">
        <v>35</v>
      </c>
      <c r="F26" s="7">
        <v>45303</v>
      </c>
      <c r="G26" s="7" t="str">
        <f>TEXT(Table1[[#This Row],[Ship Date]],"mmm")</f>
        <v>Jan</v>
      </c>
      <c r="H26" s="6">
        <v>39.99</v>
      </c>
      <c r="I26" s="6">
        <v>3</v>
      </c>
      <c r="J26" s="6">
        <f t="shared" si="0"/>
        <v>11.997</v>
      </c>
      <c r="K26" s="11">
        <f t="shared" si="1"/>
        <v>131.96699999999998</v>
      </c>
    </row>
    <row r="27" spans="2:11" ht="14.45">
      <c r="B27" s="9" t="s">
        <v>47</v>
      </c>
      <c r="C27" s="7">
        <v>45301</v>
      </c>
      <c r="D27" s="6" t="s">
        <v>48</v>
      </c>
      <c r="E27" s="6">
        <v>48</v>
      </c>
      <c r="F27" s="7">
        <v>45302</v>
      </c>
      <c r="G27" s="7" t="str">
        <f>TEXT(Table1[[#This Row],[Ship Date]],"mmm")</f>
        <v>Jan</v>
      </c>
      <c r="H27" s="6">
        <v>199.99</v>
      </c>
      <c r="I27" s="6">
        <v>1</v>
      </c>
      <c r="J27" s="6">
        <f t="shared" si="0"/>
        <v>19.999000000000002</v>
      </c>
      <c r="K27" s="11">
        <f t="shared" si="1"/>
        <v>219.989</v>
      </c>
    </row>
    <row r="28" spans="2:11" ht="14.45">
      <c r="B28" s="9" t="s">
        <v>49</v>
      </c>
      <c r="C28" s="7">
        <v>45301</v>
      </c>
      <c r="D28" s="6" t="s">
        <v>50</v>
      </c>
      <c r="E28" s="6">
        <v>47</v>
      </c>
      <c r="F28" s="7">
        <v>45305</v>
      </c>
      <c r="G28" s="7" t="str">
        <f>TEXT(Table1[[#This Row],[Ship Date]],"mmm")</f>
        <v>Jan</v>
      </c>
      <c r="H28" s="6">
        <v>29.99</v>
      </c>
      <c r="I28" s="6">
        <v>5</v>
      </c>
      <c r="J28" s="6">
        <f t="shared" si="0"/>
        <v>14.994999999999999</v>
      </c>
      <c r="K28" s="11">
        <f t="shared" si="1"/>
        <v>164.94499999999999</v>
      </c>
    </row>
    <row r="29" spans="2:11" ht="14.45">
      <c r="B29" s="9" t="s">
        <v>51</v>
      </c>
      <c r="C29" s="7">
        <v>45302</v>
      </c>
      <c r="D29" s="6" t="s">
        <v>52</v>
      </c>
      <c r="E29" s="6">
        <v>46</v>
      </c>
      <c r="F29" s="7">
        <v>45305</v>
      </c>
      <c r="G29" s="7" t="str">
        <f>TEXT(Table1[[#This Row],[Ship Date]],"mmm")</f>
        <v>Jan</v>
      </c>
      <c r="H29" s="6">
        <v>79.989999999999995</v>
      </c>
      <c r="I29" s="6">
        <v>2</v>
      </c>
      <c r="J29" s="6">
        <f t="shared" si="0"/>
        <v>15.997999999999999</v>
      </c>
      <c r="K29" s="11">
        <f t="shared" si="1"/>
        <v>175.97799999999998</v>
      </c>
    </row>
    <row r="30" spans="2:11" ht="14.45">
      <c r="B30" s="9" t="s">
        <v>53</v>
      </c>
      <c r="C30" s="7">
        <v>45302</v>
      </c>
      <c r="D30" s="6" t="s">
        <v>54</v>
      </c>
      <c r="E30" s="6">
        <v>45</v>
      </c>
      <c r="F30" s="7">
        <v>45306</v>
      </c>
      <c r="G30" s="7" t="str">
        <f>TEXT(Table1[[#This Row],[Ship Date]],"mmm")</f>
        <v>Jan</v>
      </c>
      <c r="H30" s="6">
        <v>49.99</v>
      </c>
      <c r="I30" s="6">
        <v>3</v>
      </c>
      <c r="J30" s="6">
        <f t="shared" si="0"/>
        <v>14.997</v>
      </c>
      <c r="K30" s="11">
        <f t="shared" si="1"/>
        <v>164.96699999999998</v>
      </c>
    </row>
    <row r="31" spans="2:11" ht="14.45">
      <c r="B31" s="9" t="s">
        <v>55</v>
      </c>
      <c r="C31" s="7">
        <v>45303</v>
      </c>
      <c r="D31" s="6" t="s">
        <v>56</v>
      </c>
      <c r="E31" s="6">
        <v>44</v>
      </c>
      <c r="F31" s="7">
        <v>45308</v>
      </c>
      <c r="G31" s="7" t="str">
        <f>TEXT(Table1[[#This Row],[Ship Date]],"mmm")</f>
        <v>Jan</v>
      </c>
      <c r="H31" s="6">
        <v>129.99</v>
      </c>
      <c r="I31" s="6">
        <v>1</v>
      </c>
      <c r="J31" s="6">
        <f t="shared" si="0"/>
        <v>12.999000000000002</v>
      </c>
      <c r="K31" s="11">
        <f t="shared" si="1"/>
        <v>142.989</v>
      </c>
    </row>
    <row r="32" spans="2:11" ht="14.45">
      <c r="B32" s="9" t="s">
        <v>57</v>
      </c>
      <c r="C32" s="7">
        <v>45303</v>
      </c>
      <c r="D32" s="6" t="s">
        <v>58</v>
      </c>
      <c r="E32" s="6">
        <v>43</v>
      </c>
      <c r="F32" s="7">
        <v>45308</v>
      </c>
      <c r="G32" s="7" t="str">
        <f>TEXT(Table1[[#This Row],[Ship Date]],"mmm")</f>
        <v>Jan</v>
      </c>
      <c r="H32" s="6">
        <v>19.989999999999998</v>
      </c>
      <c r="I32" s="6">
        <v>4</v>
      </c>
      <c r="J32" s="6">
        <f t="shared" si="0"/>
        <v>7.9959999999999996</v>
      </c>
      <c r="K32" s="11">
        <f t="shared" si="1"/>
        <v>87.955999999999989</v>
      </c>
    </row>
    <row r="33" spans="2:11" ht="14.45">
      <c r="B33" s="9" t="s">
        <v>59</v>
      </c>
      <c r="C33" s="7">
        <v>45304</v>
      </c>
      <c r="D33" s="6" t="s">
        <v>60</v>
      </c>
      <c r="E33" s="6">
        <v>41</v>
      </c>
      <c r="F33" s="7">
        <v>45305</v>
      </c>
      <c r="G33" s="7" t="str">
        <f>TEXT(Table1[[#This Row],[Ship Date]],"mmm")</f>
        <v>Jan</v>
      </c>
      <c r="H33" s="6">
        <v>69.989999999999995</v>
      </c>
      <c r="I33" s="6">
        <v>2</v>
      </c>
      <c r="J33" s="6">
        <f t="shared" si="0"/>
        <v>13.997999999999999</v>
      </c>
      <c r="K33" s="11">
        <f t="shared" si="1"/>
        <v>153.97799999999998</v>
      </c>
    </row>
    <row r="34" spans="2:11">
      <c r="B34" s="9" t="s">
        <v>61</v>
      </c>
      <c r="C34" s="7">
        <v>45305</v>
      </c>
      <c r="D34" s="6" t="s">
        <v>62</v>
      </c>
      <c r="E34" s="6">
        <v>40</v>
      </c>
      <c r="F34" s="7">
        <v>45309</v>
      </c>
      <c r="G34" s="7" t="str">
        <f>TEXT(Table1[[#This Row],[Ship Date]],"mmm")</f>
        <v>Jan</v>
      </c>
      <c r="H34" s="6">
        <v>39.99</v>
      </c>
      <c r="I34" s="6">
        <v>3</v>
      </c>
      <c r="J34" s="6">
        <f t="shared" si="0"/>
        <v>11.997</v>
      </c>
      <c r="K34" s="11">
        <f t="shared" si="1"/>
        <v>131.96699999999998</v>
      </c>
    </row>
    <row r="35" spans="2:11">
      <c r="B35" s="9" t="s">
        <v>63</v>
      </c>
      <c r="C35" s="7">
        <v>45305</v>
      </c>
      <c r="D35" s="6" t="s">
        <v>64</v>
      </c>
      <c r="E35" s="6">
        <v>20</v>
      </c>
      <c r="F35" s="7">
        <v>45310</v>
      </c>
      <c r="G35" s="7" t="str">
        <f>TEXT(Table1[[#This Row],[Ship Date]],"mmm")</f>
        <v>Jan</v>
      </c>
      <c r="H35" s="6">
        <v>199.99</v>
      </c>
      <c r="I35" s="6">
        <v>1</v>
      </c>
      <c r="J35" s="6">
        <f t="shared" si="0"/>
        <v>19.999000000000002</v>
      </c>
      <c r="K35" s="11">
        <f t="shared" si="1"/>
        <v>219.989</v>
      </c>
    </row>
    <row r="36" spans="2:11">
      <c r="B36" s="9" t="s">
        <v>65</v>
      </c>
      <c r="C36" s="7">
        <v>45306</v>
      </c>
      <c r="D36" s="6" t="s">
        <v>66</v>
      </c>
      <c r="E36" s="6">
        <v>22</v>
      </c>
      <c r="F36" s="7">
        <v>45310</v>
      </c>
      <c r="G36" s="7" t="str">
        <f>TEXT(Table1[[#This Row],[Ship Date]],"mmm")</f>
        <v>Jan</v>
      </c>
      <c r="H36" s="6">
        <v>29.99</v>
      </c>
      <c r="I36" s="6">
        <v>5</v>
      </c>
      <c r="J36" s="6">
        <f t="shared" si="0"/>
        <v>14.994999999999999</v>
      </c>
      <c r="K36" s="11">
        <f t="shared" si="1"/>
        <v>164.94499999999999</v>
      </c>
    </row>
    <row r="37" spans="2:11">
      <c r="B37" s="9" t="s">
        <v>67</v>
      </c>
      <c r="C37" s="7">
        <v>45306</v>
      </c>
      <c r="D37" s="6" t="s">
        <v>68</v>
      </c>
      <c r="E37" s="6">
        <v>24</v>
      </c>
      <c r="F37" s="7">
        <v>45310</v>
      </c>
      <c r="G37" s="7" t="str">
        <f>TEXT(Table1[[#This Row],[Ship Date]],"mmm")</f>
        <v>Jan</v>
      </c>
      <c r="H37" s="6">
        <v>79.989999999999995</v>
      </c>
      <c r="I37" s="6">
        <v>2</v>
      </c>
      <c r="J37" s="6">
        <f t="shared" si="0"/>
        <v>15.997999999999999</v>
      </c>
      <c r="K37" s="11">
        <f t="shared" si="1"/>
        <v>175.97799999999998</v>
      </c>
    </row>
    <row r="38" spans="2:11">
      <c r="B38" s="9" t="s">
        <v>69</v>
      </c>
      <c r="C38" s="7">
        <v>45307</v>
      </c>
      <c r="D38" s="6" t="s">
        <v>70</v>
      </c>
      <c r="E38" s="6">
        <v>26</v>
      </c>
      <c r="F38" s="7">
        <v>45310</v>
      </c>
      <c r="G38" s="7" t="str">
        <f>TEXT(Table1[[#This Row],[Ship Date]],"mmm")</f>
        <v>Jan</v>
      </c>
      <c r="H38" s="6">
        <v>49.99</v>
      </c>
      <c r="I38" s="6">
        <v>3</v>
      </c>
      <c r="J38" s="6">
        <f t="shared" si="0"/>
        <v>14.997</v>
      </c>
      <c r="K38" s="11">
        <f t="shared" si="1"/>
        <v>164.96699999999998</v>
      </c>
    </row>
    <row r="39" spans="2:11">
      <c r="B39" s="9" t="s">
        <v>71</v>
      </c>
      <c r="C39" s="7">
        <v>45307</v>
      </c>
      <c r="D39" s="6" t="s">
        <v>72</v>
      </c>
      <c r="E39" s="6">
        <v>28</v>
      </c>
      <c r="F39" s="7">
        <v>45308</v>
      </c>
      <c r="G39" s="7" t="str">
        <f>TEXT(Table1[[#This Row],[Ship Date]],"mmm")</f>
        <v>Jan</v>
      </c>
      <c r="H39" s="6">
        <v>129.99</v>
      </c>
      <c r="I39" s="6">
        <v>1</v>
      </c>
      <c r="J39" s="6">
        <f t="shared" si="0"/>
        <v>12.999000000000002</v>
      </c>
      <c r="K39" s="11">
        <f t="shared" si="1"/>
        <v>142.989</v>
      </c>
    </row>
    <row r="40" spans="2:11">
      <c r="B40" s="9" t="s">
        <v>73</v>
      </c>
      <c r="C40" s="7">
        <v>45308</v>
      </c>
      <c r="D40" s="6" t="s">
        <v>74</v>
      </c>
      <c r="E40" s="6">
        <v>35</v>
      </c>
      <c r="F40" s="7">
        <v>45310</v>
      </c>
      <c r="G40" s="7" t="str">
        <f>TEXT(Table1[[#This Row],[Ship Date]],"mmm")</f>
        <v>Jan</v>
      </c>
      <c r="H40" s="6">
        <v>19.989999999999998</v>
      </c>
      <c r="I40" s="6">
        <v>4</v>
      </c>
      <c r="J40" s="6">
        <f t="shared" si="0"/>
        <v>7.9959999999999996</v>
      </c>
      <c r="K40" s="11">
        <f t="shared" si="1"/>
        <v>87.955999999999989</v>
      </c>
    </row>
    <row r="41" spans="2:11">
      <c r="B41" s="9" t="s">
        <v>75</v>
      </c>
      <c r="C41" s="7">
        <v>45308</v>
      </c>
      <c r="D41" s="6" t="s">
        <v>76</v>
      </c>
      <c r="E41" s="6">
        <v>40</v>
      </c>
      <c r="F41" s="7">
        <v>45310</v>
      </c>
      <c r="G41" s="7" t="str">
        <f>TEXT(Table1[[#This Row],[Ship Date]],"mmm")</f>
        <v>Jan</v>
      </c>
      <c r="H41" s="6">
        <v>149.99</v>
      </c>
      <c r="I41" s="6">
        <v>1</v>
      </c>
      <c r="J41" s="6">
        <f t="shared" ref="J41:J59" si="2">H41*I41*$K$6</f>
        <v>14.999000000000002</v>
      </c>
      <c r="K41" s="11">
        <f t="shared" ref="K41:K59" si="3">H41*I41+J41</f>
        <v>164.989</v>
      </c>
    </row>
    <row r="42" spans="2:11">
      <c r="B42" s="9" t="s">
        <v>77</v>
      </c>
      <c r="C42" s="7">
        <v>45309</v>
      </c>
      <c r="D42" s="6" t="s">
        <v>78</v>
      </c>
      <c r="E42" s="6">
        <v>45</v>
      </c>
      <c r="F42" s="7">
        <v>45314</v>
      </c>
      <c r="G42" s="7" t="str">
        <f>TEXT(Table1[[#This Row],[Ship Date]],"mmm")</f>
        <v>Jan</v>
      </c>
      <c r="H42" s="6">
        <v>69.989999999999995</v>
      </c>
      <c r="I42" s="6">
        <v>2</v>
      </c>
      <c r="J42" s="6">
        <f t="shared" si="2"/>
        <v>13.997999999999999</v>
      </c>
      <c r="K42" s="11">
        <f t="shared" si="3"/>
        <v>153.97799999999998</v>
      </c>
    </row>
    <row r="43" spans="2:11">
      <c r="B43" s="9" t="s">
        <v>79</v>
      </c>
      <c r="C43" s="7">
        <v>45309</v>
      </c>
      <c r="D43" s="6" t="s">
        <v>80</v>
      </c>
      <c r="E43" s="6">
        <v>50</v>
      </c>
      <c r="F43" s="7">
        <v>45310</v>
      </c>
      <c r="G43" s="7" t="str">
        <f>TEXT(Table1[[#This Row],[Ship Date]],"mmm")</f>
        <v>Jan</v>
      </c>
      <c r="H43" s="6">
        <v>39.99</v>
      </c>
      <c r="I43" s="6">
        <v>3</v>
      </c>
      <c r="J43" s="6">
        <f t="shared" si="2"/>
        <v>11.997</v>
      </c>
      <c r="K43" s="11">
        <f t="shared" si="3"/>
        <v>131.96699999999998</v>
      </c>
    </row>
    <row r="44" spans="2:11">
      <c r="B44" s="9" t="s">
        <v>81</v>
      </c>
      <c r="C44" s="7">
        <v>45310</v>
      </c>
      <c r="D44" s="6" t="s">
        <v>82</v>
      </c>
      <c r="E44" s="6">
        <v>22</v>
      </c>
      <c r="F44" s="7">
        <v>45311</v>
      </c>
      <c r="G44" s="7" t="str">
        <f>TEXT(Table1[[#This Row],[Ship Date]],"mmm")</f>
        <v>Jan</v>
      </c>
      <c r="H44" s="6">
        <v>199.99</v>
      </c>
      <c r="I44" s="6">
        <v>1</v>
      </c>
      <c r="J44" s="6">
        <f t="shared" si="2"/>
        <v>19.999000000000002</v>
      </c>
      <c r="K44" s="11">
        <f t="shared" si="3"/>
        <v>219.989</v>
      </c>
    </row>
    <row r="45" spans="2:11">
      <c r="B45" s="9" t="s">
        <v>83</v>
      </c>
      <c r="C45" s="7">
        <v>45310</v>
      </c>
      <c r="D45" s="6" t="s">
        <v>84</v>
      </c>
      <c r="E45" s="6">
        <v>29</v>
      </c>
      <c r="F45" s="7">
        <v>45313</v>
      </c>
      <c r="G45" s="7" t="str">
        <f>TEXT(Table1[[#This Row],[Ship Date]],"mmm")</f>
        <v>Jan</v>
      </c>
      <c r="H45" s="6">
        <v>29.99</v>
      </c>
      <c r="I45" s="6">
        <v>5</v>
      </c>
      <c r="J45" s="6">
        <f t="shared" si="2"/>
        <v>14.994999999999999</v>
      </c>
      <c r="K45" s="11">
        <f t="shared" si="3"/>
        <v>164.94499999999999</v>
      </c>
    </row>
    <row r="46" spans="2:11">
      <c r="B46" s="9" t="s">
        <v>85</v>
      </c>
      <c r="C46" s="7">
        <v>45312</v>
      </c>
      <c r="D46" s="6" t="s">
        <v>86</v>
      </c>
      <c r="E46" s="6">
        <v>40</v>
      </c>
      <c r="F46" s="7">
        <v>45314</v>
      </c>
      <c r="G46" s="7" t="str">
        <f>TEXT(Table1[[#This Row],[Ship Date]],"mmm")</f>
        <v>Jan</v>
      </c>
      <c r="H46" s="6">
        <v>19.989999999999998</v>
      </c>
      <c r="I46" s="6">
        <v>4</v>
      </c>
      <c r="J46" s="6">
        <f t="shared" si="2"/>
        <v>7.9959999999999996</v>
      </c>
      <c r="K46" s="11">
        <f t="shared" si="3"/>
        <v>87.955999999999989</v>
      </c>
    </row>
    <row r="47" spans="2:11">
      <c r="B47" s="9" t="s">
        <v>87</v>
      </c>
      <c r="C47" s="7">
        <v>45313</v>
      </c>
      <c r="D47" s="6" t="s">
        <v>88</v>
      </c>
      <c r="E47" s="6">
        <v>48</v>
      </c>
      <c r="F47" s="7">
        <v>45316</v>
      </c>
      <c r="G47" s="7" t="str">
        <f>TEXT(Table1[[#This Row],[Ship Date]],"mmm")</f>
        <v>Jan</v>
      </c>
      <c r="H47" s="6">
        <v>149.99</v>
      </c>
      <c r="I47" s="6">
        <v>1</v>
      </c>
      <c r="J47" s="6">
        <f t="shared" si="2"/>
        <v>14.999000000000002</v>
      </c>
      <c r="K47" s="11">
        <f t="shared" si="3"/>
        <v>164.989</v>
      </c>
    </row>
    <row r="48" spans="2:11">
      <c r="B48" s="9" t="s">
        <v>89</v>
      </c>
      <c r="C48" s="7">
        <v>45314</v>
      </c>
      <c r="D48" s="6" t="s">
        <v>90</v>
      </c>
      <c r="E48" s="6">
        <v>26</v>
      </c>
      <c r="F48" s="7">
        <v>45318</v>
      </c>
      <c r="G48" s="7" t="str">
        <f>TEXT(Table1[[#This Row],[Ship Date]],"mmm")</f>
        <v>Jan</v>
      </c>
      <c r="H48" s="6">
        <v>39.99</v>
      </c>
      <c r="I48" s="6">
        <v>3</v>
      </c>
      <c r="J48" s="6">
        <f t="shared" si="2"/>
        <v>11.997</v>
      </c>
      <c r="K48" s="11">
        <f t="shared" si="3"/>
        <v>131.96699999999998</v>
      </c>
    </row>
    <row r="49" spans="2:11">
      <c r="B49" s="9" t="s">
        <v>91</v>
      </c>
      <c r="C49" s="7">
        <v>45315</v>
      </c>
      <c r="D49" s="6" t="s">
        <v>92</v>
      </c>
      <c r="E49" s="6">
        <v>28</v>
      </c>
      <c r="F49" s="7">
        <v>45316</v>
      </c>
      <c r="G49" s="7" t="str">
        <f>TEXT(Table1[[#This Row],[Ship Date]],"mmm")</f>
        <v>Jan</v>
      </c>
      <c r="H49" s="6">
        <v>29.99</v>
      </c>
      <c r="I49" s="6">
        <v>5</v>
      </c>
      <c r="J49" s="6">
        <f t="shared" si="2"/>
        <v>14.994999999999999</v>
      </c>
      <c r="K49" s="11">
        <f t="shared" si="3"/>
        <v>164.94499999999999</v>
      </c>
    </row>
    <row r="50" spans="2:11">
      <c r="B50" s="9" t="s">
        <v>93</v>
      </c>
      <c r="C50" s="7">
        <v>45315</v>
      </c>
      <c r="D50" s="6" t="s">
        <v>94</v>
      </c>
      <c r="E50" s="6">
        <v>29</v>
      </c>
      <c r="F50" s="7">
        <v>45317</v>
      </c>
      <c r="G50" s="7" t="str">
        <f>TEXT(Table1[[#This Row],[Ship Date]],"mmm")</f>
        <v>Jan</v>
      </c>
      <c r="H50" s="6">
        <v>79.989999999999995</v>
      </c>
      <c r="I50" s="6">
        <v>2</v>
      </c>
      <c r="J50" s="6">
        <f t="shared" si="2"/>
        <v>15.997999999999999</v>
      </c>
      <c r="K50" s="11">
        <f t="shared" si="3"/>
        <v>175.97799999999998</v>
      </c>
    </row>
    <row r="51" spans="2:11">
      <c r="B51" s="9" t="s">
        <v>95</v>
      </c>
      <c r="C51" s="7">
        <v>45316</v>
      </c>
      <c r="D51" s="6" t="s">
        <v>96</v>
      </c>
      <c r="E51" s="6">
        <v>30</v>
      </c>
      <c r="F51" s="7">
        <v>45321</v>
      </c>
      <c r="G51" s="7" t="str">
        <f>TEXT(Table1[[#This Row],[Ship Date]],"mmm")</f>
        <v>Jan</v>
      </c>
      <c r="H51" s="6">
        <v>49.99</v>
      </c>
      <c r="I51" s="6">
        <v>3</v>
      </c>
      <c r="J51" s="6">
        <f t="shared" si="2"/>
        <v>14.997</v>
      </c>
      <c r="K51" s="11">
        <f t="shared" si="3"/>
        <v>164.96699999999998</v>
      </c>
    </row>
    <row r="52" spans="2:11">
      <c r="B52" s="9" t="s">
        <v>97</v>
      </c>
      <c r="C52" s="7">
        <v>45316</v>
      </c>
      <c r="D52" s="6" t="s">
        <v>98</v>
      </c>
      <c r="E52" s="6">
        <v>31</v>
      </c>
      <c r="F52" s="7">
        <v>45318</v>
      </c>
      <c r="G52" s="7" t="str">
        <f>TEXT(Table1[[#This Row],[Ship Date]],"mmm")</f>
        <v>Jan</v>
      </c>
      <c r="H52" s="6">
        <v>129.99</v>
      </c>
      <c r="I52" s="6">
        <v>1</v>
      </c>
      <c r="J52" s="6">
        <f t="shared" si="2"/>
        <v>12.999000000000002</v>
      </c>
      <c r="K52" s="11">
        <f t="shared" si="3"/>
        <v>142.989</v>
      </c>
    </row>
    <row r="53" spans="2:11">
      <c r="B53" s="9" t="s">
        <v>99</v>
      </c>
      <c r="C53" s="7">
        <v>45317</v>
      </c>
      <c r="D53" s="6" t="s">
        <v>100</v>
      </c>
      <c r="E53" s="6">
        <v>32</v>
      </c>
      <c r="F53" s="7">
        <v>45320</v>
      </c>
      <c r="G53" s="7" t="str">
        <f>TEXT(Table1[[#This Row],[Ship Date]],"mmm")</f>
        <v>Jan</v>
      </c>
      <c r="H53" s="6">
        <v>19.989999999999998</v>
      </c>
      <c r="I53" s="6">
        <v>4</v>
      </c>
      <c r="J53" s="6">
        <f t="shared" si="2"/>
        <v>7.9959999999999996</v>
      </c>
      <c r="K53" s="11">
        <f t="shared" si="3"/>
        <v>87.955999999999989</v>
      </c>
    </row>
    <row r="54" spans="2:11">
      <c r="B54" s="9" t="s">
        <v>101</v>
      </c>
      <c r="C54" s="7">
        <v>45317</v>
      </c>
      <c r="D54" s="6" t="s">
        <v>102</v>
      </c>
      <c r="E54" s="6">
        <v>33</v>
      </c>
      <c r="F54" s="7">
        <v>45319</v>
      </c>
      <c r="G54" s="7" t="str">
        <f>TEXT(Table1[[#This Row],[Ship Date]],"mmm")</f>
        <v>Jan</v>
      </c>
      <c r="H54" s="6">
        <v>149.99</v>
      </c>
      <c r="I54" s="6">
        <v>1</v>
      </c>
      <c r="J54" s="6">
        <f t="shared" si="2"/>
        <v>14.999000000000002</v>
      </c>
      <c r="K54" s="11">
        <f t="shared" si="3"/>
        <v>164.989</v>
      </c>
    </row>
    <row r="55" spans="2:11">
      <c r="B55" s="9" t="s">
        <v>103</v>
      </c>
      <c r="C55" s="7">
        <v>45318</v>
      </c>
      <c r="D55" s="6" t="s">
        <v>104</v>
      </c>
      <c r="E55" s="6">
        <v>34</v>
      </c>
      <c r="F55" s="7">
        <v>45322</v>
      </c>
      <c r="G55" s="7" t="str">
        <f>TEXT(Table1[[#This Row],[Ship Date]],"mmm")</f>
        <v>Jan</v>
      </c>
      <c r="H55" s="6">
        <v>69.989999999999995</v>
      </c>
      <c r="I55" s="6">
        <v>2</v>
      </c>
      <c r="J55" s="6">
        <f t="shared" si="2"/>
        <v>13.997999999999999</v>
      </c>
      <c r="K55" s="11">
        <f t="shared" si="3"/>
        <v>153.97799999999998</v>
      </c>
    </row>
    <row r="56" spans="2:11">
      <c r="B56" s="9" t="s">
        <v>105</v>
      </c>
      <c r="C56" s="7">
        <v>45318</v>
      </c>
      <c r="D56" s="6" t="s">
        <v>106</v>
      </c>
      <c r="E56" s="6">
        <v>35</v>
      </c>
      <c r="F56" s="7">
        <v>45322</v>
      </c>
      <c r="G56" s="7" t="str">
        <f>TEXT(Table1[[#This Row],[Ship Date]],"mmm")</f>
        <v>Jan</v>
      </c>
      <c r="H56" s="6">
        <v>39.99</v>
      </c>
      <c r="I56" s="6">
        <v>3</v>
      </c>
      <c r="J56" s="6">
        <f t="shared" si="2"/>
        <v>11.997</v>
      </c>
      <c r="K56" s="11">
        <f t="shared" si="3"/>
        <v>131.96699999999998</v>
      </c>
    </row>
    <row r="57" spans="2:11">
      <c r="B57" s="9" t="s">
        <v>107</v>
      </c>
      <c r="C57" s="7">
        <v>45319</v>
      </c>
      <c r="D57" s="6" t="s">
        <v>108</v>
      </c>
      <c r="E57" s="6">
        <v>48</v>
      </c>
      <c r="F57" s="7">
        <v>45320</v>
      </c>
      <c r="G57" s="7" t="str">
        <f>TEXT(Table1[[#This Row],[Ship Date]],"mmm")</f>
        <v>Jan</v>
      </c>
      <c r="H57" s="6">
        <v>199.99</v>
      </c>
      <c r="I57" s="6">
        <v>1</v>
      </c>
      <c r="J57" s="6">
        <f t="shared" si="2"/>
        <v>19.999000000000002</v>
      </c>
      <c r="K57" s="11">
        <f t="shared" si="3"/>
        <v>219.989</v>
      </c>
    </row>
    <row r="58" spans="2:11">
      <c r="B58" s="9" t="s">
        <v>109</v>
      </c>
      <c r="C58" s="7">
        <v>45319</v>
      </c>
      <c r="D58" s="6" t="s">
        <v>110</v>
      </c>
      <c r="E58" s="6">
        <v>47</v>
      </c>
      <c r="F58" s="7">
        <v>45320</v>
      </c>
      <c r="G58" s="7" t="str">
        <f>TEXT(Table1[[#This Row],[Ship Date]],"mmm")</f>
        <v>Jan</v>
      </c>
      <c r="H58" s="6">
        <v>29.99</v>
      </c>
      <c r="I58" s="6">
        <v>5</v>
      </c>
      <c r="J58" s="6">
        <f t="shared" si="2"/>
        <v>14.994999999999999</v>
      </c>
      <c r="K58" s="11">
        <f t="shared" si="3"/>
        <v>164.94499999999999</v>
      </c>
    </row>
    <row r="59" spans="2:11">
      <c r="B59" s="9" t="s">
        <v>111</v>
      </c>
      <c r="C59" s="7">
        <v>45320</v>
      </c>
      <c r="D59" s="6" t="s">
        <v>112</v>
      </c>
      <c r="E59" s="6">
        <v>46</v>
      </c>
      <c r="F59" s="7">
        <v>45321</v>
      </c>
      <c r="G59" s="7" t="str">
        <f>TEXT(Table1[[#This Row],[Ship Date]],"mmm")</f>
        <v>Jan</v>
      </c>
      <c r="H59" s="6">
        <v>79.989999999999995</v>
      </c>
      <c r="I59" s="6">
        <v>2</v>
      </c>
      <c r="J59" s="6">
        <f t="shared" si="2"/>
        <v>15.997999999999999</v>
      </c>
      <c r="K59" s="11">
        <f t="shared" si="3"/>
        <v>175.97799999999998</v>
      </c>
    </row>
    <row r="60" spans="2:11">
      <c r="B60"/>
      <c r="C60"/>
      <c r="D60"/>
      <c r="E60"/>
      <c r="F60"/>
      <c r="G60"/>
      <c r="H60"/>
      <c r="I60"/>
      <c r="J60"/>
      <c r="K60" s="14"/>
    </row>
    <row r="61" spans="2:11">
      <c r="B61"/>
      <c r="C61"/>
      <c r="D61"/>
      <c r="E61"/>
      <c r="F61"/>
      <c r="G61"/>
      <c r="H61"/>
      <c r="I61"/>
      <c r="J61"/>
      <c r="K61"/>
    </row>
    <row r="62" spans="2:11">
      <c r="B62"/>
      <c r="C62"/>
      <c r="D62"/>
      <c r="E62"/>
      <c r="F62"/>
      <c r="G62"/>
      <c r="H62"/>
      <c r="I62"/>
      <c r="J62"/>
      <c r="K62"/>
    </row>
    <row r="63" spans="2:11">
      <c r="B63"/>
      <c r="C63"/>
      <c r="D63"/>
      <c r="E63"/>
      <c r="F63"/>
      <c r="G63"/>
      <c r="H63"/>
      <c r="I63"/>
      <c r="J63"/>
      <c r="K63"/>
    </row>
    <row r="64" spans="2:11">
      <c r="B64"/>
      <c r="C64"/>
      <c r="D64"/>
      <c r="E64"/>
      <c r="F64"/>
      <c r="G64"/>
      <c r="H64" s="16"/>
      <c r="I64"/>
      <c r="J64"/>
      <c r="K64"/>
    </row>
    <row r="65" spans="2:11">
      <c r="B65"/>
      <c r="C65"/>
      <c r="D65"/>
      <c r="E65"/>
      <c r="F65"/>
      <c r="G65"/>
      <c r="H65"/>
      <c r="I65"/>
      <c r="J65"/>
      <c r="K65"/>
    </row>
    <row r="66" spans="2:11">
      <c r="B66"/>
      <c r="C66"/>
      <c r="D66"/>
      <c r="E66"/>
      <c r="F66"/>
      <c r="G66"/>
      <c r="H66"/>
      <c r="I66"/>
      <c r="J66"/>
      <c r="K66"/>
    </row>
    <row r="67" spans="2:11">
      <c r="B67"/>
      <c r="C67"/>
      <c r="D67"/>
      <c r="E67"/>
      <c r="F67"/>
      <c r="G67"/>
      <c r="H67"/>
      <c r="I67"/>
      <c r="J67"/>
      <c r="K67"/>
    </row>
    <row r="68" spans="2:11">
      <c r="B68"/>
      <c r="C68"/>
      <c r="D68"/>
      <c r="E68"/>
      <c r="F68"/>
      <c r="G68"/>
      <c r="H68"/>
      <c r="I68"/>
      <c r="J68"/>
      <c r="K68"/>
    </row>
    <row r="69" spans="2:11">
      <c r="B69"/>
      <c r="C69"/>
      <c r="D69"/>
      <c r="E69"/>
      <c r="F69"/>
      <c r="G69"/>
      <c r="H69"/>
      <c r="I69"/>
      <c r="J69"/>
      <c r="K69"/>
    </row>
    <row r="70" spans="2:11">
      <c r="B70"/>
      <c r="C70"/>
      <c r="D70"/>
      <c r="E70"/>
      <c r="F70"/>
      <c r="G70"/>
      <c r="H70"/>
      <c r="I70"/>
      <c r="J70"/>
      <c r="K70"/>
    </row>
    <row r="71" spans="2:11">
      <c r="B71"/>
      <c r="C71"/>
      <c r="D71"/>
      <c r="E71"/>
      <c r="F71"/>
      <c r="G71"/>
      <c r="H71"/>
      <c r="I71"/>
      <c r="J71"/>
      <c r="K71"/>
    </row>
    <row r="72" spans="2:11">
      <c r="B72"/>
      <c r="C72"/>
      <c r="D72"/>
      <c r="E72"/>
      <c r="F72"/>
      <c r="G72"/>
      <c r="H72"/>
      <c r="I72"/>
      <c r="J72"/>
      <c r="K72"/>
    </row>
    <row r="73" spans="2:11">
      <c r="B73"/>
      <c r="C73"/>
      <c r="D73"/>
      <c r="E73"/>
      <c r="F73"/>
      <c r="G73"/>
      <c r="H73"/>
      <c r="I73"/>
      <c r="J73"/>
      <c r="K73"/>
    </row>
    <row r="74" spans="2:11">
      <c r="B74"/>
      <c r="C74"/>
      <c r="D74"/>
      <c r="E74"/>
      <c r="F74"/>
      <c r="G74"/>
      <c r="H74"/>
      <c r="I74"/>
      <c r="J74"/>
      <c r="K74"/>
    </row>
    <row r="75" spans="2:11">
      <c r="B75"/>
      <c r="C75"/>
      <c r="D75"/>
      <c r="E75"/>
      <c r="F75"/>
      <c r="G75"/>
      <c r="H75"/>
      <c r="I75"/>
      <c r="J75"/>
      <c r="K75"/>
    </row>
    <row r="76" spans="2:11">
      <c r="B76"/>
      <c r="C76"/>
      <c r="D76"/>
      <c r="E76"/>
      <c r="F76"/>
      <c r="G76"/>
      <c r="H76"/>
      <c r="I76"/>
      <c r="J76"/>
      <c r="K76"/>
    </row>
    <row r="77" spans="2:11">
      <c r="B77"/>
      <c r="C77"/>
      <c r="D77"/>
      <c r="E77"/>
      <c r="F77"/>
      <c r="G77"/>
      <c r="H77"/>
      <c r="I77"/>
      <c r="J77"/>
      <c r="K7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price</vt:lpstr>
      <vt:lpstr> Comparison month wise</vt:lpstr>
      <vt:lpstr>Dashboard</vt:lpstr>
      <vt:lpstr>Age wise</vt:lpstr>
      <vt:lpstr>Top 10</vt:lpstr>
      <vt:lpstr>Quantity</vt:lpstr>
      <vt:lpstr>SuperMarket Sales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Shree</cp:lastModifiedBy>
  <dcterms:created xsi:type="dcterms:W3CDTF">2024-02-19T11:17:54Z</dcterms:created>
  <dcterms:modified xsi:type="dcterms:W3CDTF">2026-09-01T06:33:03Z</dcterms:modified>
</cp:coreProperties>
</file>